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86bc6af6e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plified BOM" sheetId="1" r:id="R450d4c14f3ed400d"/>
    <x:sheet xmlns:r="http://schemas.openxmlformats.org/officeDocument/2006/relationships" name="BOM Data" sheetId="2" r:id="R873c465e0ccd419a"/>
    <x:sheet xmlns:r="http://schemas.openxmlformats.org/officeDocument/2006/relationships" name="Analysis" sheetId="3" r:id="Rbe8f86963e364bd4"/>
    <x:sheet xmlns:r="http://schemas.openxmlformats.org/officeDocument/2006/relationships" name="Dashboard" sheetId="4" r:id="R5e848111daf54d7e"/>
  </x:sheets>
</x:workbook>
</file>

<file path=xl/sharedStrings.xml><?xml version="1.0" encoding="utf-8"?>
<x:sst xmlns:x="http://schemas.openxmlformats.org/spreadsheetml/2006/main">
  <x:si>
    <x:t xml:space="preserve">LNG BUNKERING STATION — SIMPLIFIED BOM (CATEGORIZED, MATERIALS ASSIGNED PER STANDARD)</x:t>
  </x:si>
  <x:si>
    <x:t xml:space="preserve">Fasteners/standard hardware excluded from detail (summary row at end). Materials assigned per typical industry practice for cryogenic LNG bunkering equipment — not present in source BOM export; verify against project material spec before procurement.</x:t>
  </x:si>
  <x:si>
    <x:t xml:space="preserve">1. VESSEL / TANK COMPONENTS</x:t>
  </x:si>
  <x:si>
    <x:t xml:space="preserve">Item Group</x:t>
  </x:si>
  <x:si>
    <x:t xml:space="preserve">Component / Part Description</x:t>
  </x:si>
  <x:si>
    <x:t xml:space="preserve">Qty</x:t>
  </x:si>
  <x:si>
    <x:t xml:space="preserve">Assigned Material (Std.)</x:t>
  </x:si>
  <x:si>
    <x:t xml:space="preserve">Inner Vessel Shell</x:t>
  </x:si>
  <x:si>
    <x:t xml:space="preserve">liquid tank, liquid tank-01 (inner cryogenic vessel bodies)</x:t>
  </x:si>
  <x:si>
    <x:t xml:space="preserve">SS 316L</x:t>
  </x:si>
  <x:si>
    <x:t xml:space="preserve">Outer Vacuum Jacket</x:t>
  </x:si>
  <x:si>
    <x:t xml:space="preserve">liquid tank-1, liquid tank-12 (outer jacket shell bodies)</x:t>
  </x:si>
  <x:si>
    <x:t xml:space="preserve">SS 304</x:t>
  </x:si>
  <x:si>
    <x:t xml:space="preserve">2. STRUCTURAL SUPPORTS &amp; FRAME</x:t>
  </x:si>
  <x:si>
    <x:t xml:space="preserve">Base Frame / Deck</x:t>
  </x:si>
  <x:si>
    <x:t xml:space="preserve">Base structure, Floor Plan</x:t>
  </x:si>
  <x:si>
    <x:t xml:space="preserve">Carbon Steel A36</x:t>
  </x:si>
  <x:si>
    <x:t xml:space="preserve">Cladding Panels</x:t>
  </x:si>
  <x:si>
    <x:t xml:space="preserve">Facing, Facing-A</x:t>
  </x:si>
  <x:si>
    <x:t xml:space="preserve">Equipment Stand &amp; Tray</x:t>
  </x:si>
  <x:si>
    <x:t xml:space="preserve">stand, Keyboard tray</x:t>
  </x:si>
  <x:si>
    <x:t xml:space="preserve">Carbon Steel A36 / Aluminium 6061</x:t>
  </x:si>
  <x:si>
    <x:t xml:space="preserve">3. PIPING COMPONENTS   (grouped by nominal size)</x:t>
  </x:si>
  <x:si>
    <x:t xml:space="preserve">DN150 Piping</x:t>
  </x:si>
  <x:si>
    <x:t xml:space="preserve">3 pipe segments (DIN150-PN16 series)</x:t>
  </x:si>
  <x:si>
    <x:t xml:space="preserve">DN100–DN150 Transition</x:t>
  </x:si>
  <x:si>
    <x:t xml:space="preserve">Reducer/transition run</x:t>
  </x:si>
  <x:si>
    <x:t xml:space="preserve">DN100 Piping</x:t>
  </x:si>
  <x:si>
    <x:t xml:space="preserve">1 pipe segment</x:t>
  </x:si>
  <x:si>
    <x:t xml:space="preserve">DN80/40 Piping</x:t>
  </x:si>
  <x:si>
    <x:t xml:space="preserve">6 pipe segments (reducing/branch runs)</x:t>
  </x:si>
  <x:si>
    <x:t xml:space="preserve">DN50 Piping</x:t>
  </x:si>
  <x:si>
    <x:t xml:space="preserve">35 pipe run segments (routing/spool variants)</x:t>
  </x:si>
  <x:si>
    <x:t xml:space="preserve">DN20 Piping/Fitting Set</x:t>
  </x:si>
  <x:si>
    <x:t xml:space="preserve">Vendor-named cryogenic fitting set (4 items)</x:t>
  </x:si>
  <x:si>
    <x:t xml:space="preserve">SS 316L (vendor std.)</x:t>
  </x:si>
  <x:si>
    <x:t xml:space="preserve">4. PIPE FITTINGS, COUPLINGS &amp; CLAMPS</x:t>
  </x:si>
  <x:si>
    <x:t xml:space="preserve">Couplings</x:t>
  </x:si>
  <x:si>
    <x:t xml:space="preserve">3 coupling types</x:t>
  </x:si>
  <x:si>
    <x:t xml:space="preserve">SS 316</x:t>
  </x:si>
  <x:si>
    <x:t xml:space="preserve">Pipe Clamps</x:t>
  </x:si>
  <x:si>
    <x:t xml:space="preserve">4 clamp types</x:t>
  </x:si>
  <x:si>
    <x:t xml:space="preserve">5. FLANGES</x:t>
  </x:si>
  <x:si>
    <x:t xml:space="preserve">Flanges (DN25–DN50 mixed rating)</x:t>
  </x:si>
  <x:si>
    <x:t xml:space="preserve">BOA-CVP DN50 PN16, DN25 CL150, general flange</x:t>
  </x:si>
  <x:si>
    <x:t xml:space="preserve">6. VALVES &amp; SAFETY DEVICES</x:t>
  </x:si>
  <x:si>
    <x:t xml:space="preserve">Safety Relief Valve</x:t>
  </x:si>
  <x:si>
    <x:t xml:space="preserve">DN15/25 PN40</x:t>
  </x:si>
  <x:si>
    <x:t xml:space="preserve">SS 316 (CF8M)</x:t>
  </x:si>
  <x:si>
    <x:t xml:space="preserve">Gate Valve Assembly</x:t>
  </x:si>
  <x:si>
    <x:t xml:space="preserve">Body + bonnet + handle, NDMM40 DIN</x:t>
  </x:si>
  <x:si>
    <x:t xml:space="preserve">SS 316 (CF8M) / Carbon Steel handle</x:t>
  </x:si>
  <x:si>
    <x:t xml:space="preserve">7. INSTRUMENTATION, CONTROL &amp; ELECTRICAL</x:t>
  </x:si>
  <x:si>
    <x:t xml:space="preserve">Junction Boxes</x:t>
  </x:si>
  <x:si>
    <x:t xml:space="preserve">JB box-1, JB box-2</x:t>
  </x:si>
  <x:si>
    <x:t xml:space="preserve">SS 304 / GRP</x:t>
  </x:si>
  <x:si>
    <x:t xml:space="preserve">Control Panel</x:t>
  </x:si>
  <x:si>
    <x:t xml:space="preserve">Control panel</x:t>
  </x:si>
  <x:si>
    <x:t xml:space="preserve">Carbon Steel (painted) / SS304</x:t>
  </x:si>
  <x:si>
    <x:t xml:space="preserve">Electronic Items</x:t>
  </x:si>
  <x:si>
    <x:t xml:space="preserve">HMI, TV, Keyboard, Exhaust Fan</x:t>
  </x:si>
  <x:si>
    <x:t xml:space="preserve">Purchased Item</x:t>
  </x:si>
  <x:si>
    <x:t xml:space="preserve">Unidentified Instruments</x:t>
  </x:si>
  <x:si>
    <x:t xml:space="preserve">S-810_2, KN-R02-600 (vendor codes)</x:t>
  </x:si>
  <x:si>
    <x:t xml:space="preserve">Purchased Item — Not Available</x:t>
  </x:si>
  <x:si>
    <x:t xml:space="preserve">8. MISCELLANEOUS / UNIDENTIFIED</x:t>
  </x:si>
  <x:si>
    <x:t xml:space="preserve">Vent</x:t>
  </x:si>
  <x:si>
    <x:t xml:space="preserve">Vent nozzle/stack</x:t>
  </x:si>
  <x:si>
    <x:t xml:space="preserve">Unidentified Part</x:t>
  </x:si>
  <x:si>
    <x:t xml:space="preserve">Part2 (generic CAD name)</x:t>
  </x:si>
  <x:si>
    <x:t xml:space="preserve">Not Available</x:t>
  </x:si>
  <x:si>
    <x:t xml:space="preserve">9. FASTENERS &amp; STANDARD HARDWARE (SUMMARY — excluded from detail)</x:t>
  </x:si>
  <x:si>
    <x:t xml:space="preserve">Fasteners (all types)</x:t>
  </x:si>
  <x:si>
    <x:t xml:space="preserve">Bolts, hex nuts, cap nuts — 6 standard hardware line items</x:t>
  </x:si>
  <x:si>
    <x:t xml:space="preserve">SS A2/A4 (typical)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</x:si>
</x:sst>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#,##0"/>
    <x:numFmt numFmtId="201" formatCode="0.0%"/>
  </x:numFmts>
  <x:fonts count="1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595959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FFFFFF"/>
      <x:name val="Calibri"/>
    </x:font>
    <x:font>
      <x:i/>
      <x:sz val="11"/>
      <x:color rgb="FF6B7280"/>
      <x:name val="Calibri"/>
    </x:font>
    <x:font>
      <x:b/>
      <x:sz val="11"/>
      <x:color rgb="FF1F2937"/>
      <x:name val="Calibri"/>
    </x:font>
    <x:font>
      <x:sz val="11"/>
      <x:color rgb="FF1F2937"/>
      <x:name val="Calibri"/>
    </x:font>
    <x:font>
      <x:b/>
      <x:sz val="11"/>
      <x:color rgb="FF9C5700"/>
      <x:name val="Calibri"/>
    </x:font>
    <x:font>
      <x:sz val="11"/>
      <x:color rgb="FF6B7280"/>
      <x:name val="Calibri"/>
    </x:font>
    <x:font>
      <x:sz val="11"/>
      <x:color rgb="FF9C5700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EDF4FB"/>
      </x:patternFill>
    </x:fill>
    <x:fill>
      <x:patternFill patternType="solid">
        <x:fgColor rgb="FF4472C4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FDE9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7ED"/>
      </x:patternFill>
    </x:fill>
  </x:fills>
  <x:borders count="13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  <x:border diagonalUp="0" diagonalDown="0"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 diagonalUp="0" diagonalDown="0">
      <x:left style="thin">
        <x:color rgb="FFC9D3DF"/>
      </x:left>
      <x:top style="thin">
        <x:color rgb="FFC9D3DF"/>
      </x:top>
    </x:border>
    <x:border diagonalUp="0" diagonalDown="0">
      <x:top style="thin">
        <x:color rgb="FFC9D3DF"/>
      </x:top>
    </x:border>
    <x:border diagonalUp="0" diagonalDown="0">
      <x:right style="thin">
        <x:color rgb="FFC9D3DF"/>
      </x:right>
      <x:top style="thin">
        <x:color rgb="FFC9D3DF"/>
      </x:top>
    </x:border>
    <x:border diagonalUp="0" diagonalDown="0">
      <x:left style="thin">
        <x:color rgb="FFC9D3DF"/>
      </x:left>
    </x:border>
    <x:border diagonalUp="0" diagonalDown="0">
      <x:right style="thin">
        <x:color rgb="FFC9D3DF"/>
      </x:right>
    </x:border>
    <x:border diagonalUp="0" diagonalDown="0">
      <x:left style="thin">
        <x:color rgb="FFC9D3DF"/>
      </x:left>
      <x:bottom style="thin">
        <x:color rgb="FFC9D3DF"/>
      </x:bottom>
    </x:border>
    <x:border diagonalUp="0" diagonalDown="0">
      <x:bottom style="thin">
        <x:color rgb="FFC9D3DF"/>
      </x:bottom>
    </x:border>
    <x:border diagonalUp="0" diagonalDown="0">
      <x:right style="thin">
        <x:color rgb="FFC9D3DF"/>
      </x:right>
      <x:bottom style="thin">
        <x:color rgb="FFC9D3DF"/>
      </x:bottom>
    </x:border>
    <x:border diagonalUp="0" diagonalDown="0"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1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0" borderId="0" xfId="0" applyFont="1" applyBorder="1" applyAlignment="1">
      <x:alignment horizontal="general" vertical="top" wrapText="1"/>
    </x:xf>
    <x:xf numFmtId="164" fontId="6" fillId="3" borderId="0" xfId="0" applyFont="1" applyBorder="1" applyAlignment="1">
      <x:alignment horizontal="left" vertical="center" wrapText="0"/>
    </x:xf>
    <x:xf numFmtId="164" fontId="7" fillId="4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general" vertical="top" wrapText="1"/>
    </x:xf>
    <x:xf numFmtId="164" fontId="8" fillId="0" borderId="1" xfId="0" applyFont="1" applyBorder="1" applyAlignment="1">
      <x:alignment horizontal="center" vertical="top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left" vertical="bottom" wrapText="0"/>
    </x:xf>
    <x:xf numFmtId="164" fontId="9" fillId="5" borderId="0" xfId="0" applyNumberFormat="1" applyFont="1" applyFill="1" applyBorder="1" applyAlignment="1">
      <x:alignment horizontal="left" vertical="center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0" fillId="6" borderId="0" xfId="0" applyNumberFormat="1" applyFont="1" applyFill="1" applyBorder="1" applyAlignment="1">
      <x:alignment horizontal="general" vertical="bottom" wrapText="0"/>
    </x:xf>
    <x:xf numFmtId="164" fontId="10" fillId="6" borderId="0" xfId="0" applyNumberFormat="1" applyFont="1" applyFill="1" applyBorder="1" applyAlignment="1">
      <x:alignment horizontal="general" vertical="bottom" wrapText="1"/>
    </x:xf>
    <x:xf numFmtId="164" fontId="10" fillId="6" borderId="0" xfId="0" applyNumberFormat="1" applyFont="1" applyFill="1" applyBorder="1" applyAlignment="1">
      <x:alignment horizontal="general" vertical="center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9" fillId="7" borderId="0" xfId="0" applyNumberFormat="1" applyFont="1" applyFill="1" applyBorder="1" applyAlignment="1">
      <x:alignment horizontal="general" vertical="bottom" wrapText="0"/>
    </x:xf>
    <x:xf numFmtId="164" fontId="9" fillId="7" borderId="2" xfId="0" applyNumberFormat="1" applyFont="1" applyFill="1" applyBorder="1" applyAlignment="1">
      <x:alignment horizontal="general" vertical="bottom" wrapText="0"/>
    </x:xf>
    <x:xf numFmtId="164" fontId="9" fillId="7" borderId="2" xfId="0" applyNumberFormat="1" applyFont="1" applyFill="1" applyBorder="1" applyAlignment="1">
      <x:alignment horizontal="general" vertical="bottom" wrapText="1"/>
    </x:xf>
    <x:xf numFmtId="164" fontId="9" fillId="7" borderId="2" xfId="0" applyNumberFormat="1" applyFont="1" applyFill="1" applyBorder="1" applyAlignment="1">
      <x:alignment horizontal="center" vertical="bottom" wrapText="1"/>
    </x:xf>
    <x:xf numFmtId="164" fontId="9" fillId="7" borderId="2" xfId="0" applyNumberFormat="1" applyFont="1" applyFill="1" applyBorder="1" applyAlignment="1">
      <x:alignment horizontal="center" vertical="center" wrapText="1"/>
    </x:xf>
    <x:xf numFmtId="164" fontId="9" fillId="7" borderId="3" xfId="0" applyNumberFormat="1" applyFont="1" applyFill="1" applyBorder="1" applyAlignment="1">
      <x:alignment horizontal="center" vertical="center" wrapText="1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center" wrapText="0"/>
    </x:xf>
    <x:xf numFmtId="164" fontId="0" fillId="0" borderId="3" xfId="0" applyNumberFormat="1" applyFont="1" applyFill="1" applyBorder="1" applyAlignment="1">
      <x:alignment horizontal="general" vertical="center" wrapText="1"/>
    </x:xf>
    <x:xf numFmtId="164" fontId="0" fillId="0" borderId="3" xfId="0" applyNumberFormat="1" applyFont="1" applyFill="1" applyBorder="1" applyAlignment="1">
      <x:alignment horizontal="center" vertical="center" wrapText="0"/>
    </x:xf>
    <x:xf numFmtId="164" fontId="0" fillId="0" borderId="3" xfId="0" applyNumberFormat="1" applyFont="1" applyFill="1" applyBorder="1" applyAlignment="1">
      <x:alignment horizontal="right" vertical="center" wrapText="0"/>
    </x:xf>
    <x:xf numFmtId="200" fontId="0" fillId="0" borderId="3" xfId="0" applyNumberFormat="1" applyFont="1" applyFill="1" applyBorder="1" applyAlignment="1">
      <x:alignment horizontal="right" vertical="center" wrapText="0"/>
    </x:xf>
    <x:xf numFmtId="201" fontId="0" fillId="0" borderId="3" xfId="0" applyNumberFormat="1" applyFont="1" applyFill="1" applyBorder="1" applyAlignment="1">
      <x:alignment horizontal="general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9" fillId="8" borderId="0" xfId="0" applyNumberFormat="1" applyFont="1" applyFill="1" applyBorder="1" applyAlignment="1">
      <x:alignment horizontal="general" vertical="bottom" wrapText="0"/>
    </x:xf>
    <x:xf numFmtId="164" fontId="9" fillId="8" borderId="0" xfId="0" applyNumberFormat="1" applyFont="1" applyFill="1" applyBorder="1" applyAlignment="1">
      <x:alignment horizontal="left" vertical="bottom" wrapText="0"/>
    </x:xf>
    <x:xf numFmtId="164" fontId="9" fillId="8" borderId="0" xfId="0" applyNumberFormat="1" applyFont="1" applyFill="1" applyBorder="1" applyAlignment="1">
      <x:alignment horizontal="left" vertical="center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11" fillId="6" borderId="2" xfId="0" applyNumberFormat="1" applyFont="1" applyFill="1" applyBorder="1" applyAlignment="1">
      <x:alignment horizontal="general" vertical="bottom" wrapText="0"/>
    </x:xf>
    <x:xf numFmtId="164" fontId="11" fillId="6" borderId="2" xfId="0" applyNumberFormat="1" applyFont="1" applyFill="1" applyBorder="1" applyAlignment="1">
      <x:alignment horizontal="general" vertical="bottom" wrapText="1"/>
    </x:xf>
    <x:xf numFmtId="164" fontId="11" fillId="6" borderId="2" xfId="0" applyNumberFormat="1" applyFont="1" applyFill="1" applyBorder="1" applyAlignment="1">
      <x:alignment horizontal="general" vertical="center" wrapText="1"/>
    </x:xf>
    <x:xf numFmtId="164" fontId="0" fillId="9" borderId="2" xfId="0" applyNumberFormat="1" applyFont="1" applyFill="1" applyBorder="1" applyAlignment="1">
      <x:alignment horizontal="general" vertical="bottom" wrapText="0"/>
    </x:xf>
    <x:xf numFmtId="164" fontId="12" fillId="9" borderId="2" xfId="0" applyNumberFormat="1" applyFont="1" applyFill="1" applyBorder="1" applyAlignment="1">
      <x:alignment horizontal="general" vertical="bottom" wrapText="0"/>
    </x:xf>
    <x:xf numFmtId="164" fontId="12" fillId="9" borderId="2" xfId="0" applyNumberFormat="1" applyFont="1" applyFill="1" applyBorder="1" applyAlignment="1">
      <x:alignment horizontal="general" vertical="center" wrapText="0"/>
    </x:xf>
    <x:xf numFmtId="200" fontId="12" fillId="9" borderId="2" xfId="0" applyNumberFormat="1" applyFont="1" applyFill="1" applyBorder="1" applyAlignment="1">
      <x:alignment horizontal="general" vertical="center" wrapText="0"/>
    </x:xf>
    <x:xf numFmtId="201" fontId="12" fillId="9" borderId="2" xfId="0" applyNumberFormat="1" applyFont="1" applyFill="1" applyBorder="1" applyAlignment="1">
      <x:alignment horizontal="general" vertical="center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201" fontId="0" fillId="0" borderId="3" xfId="0" applyNumberFormat="1" applyFont="1" applyFill="1" applyBorder="1" applyAlignment="1">
      <x:alignment horizontal="general" vertical="bottom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200" fontId="0" fillId="10" borderId="3" xfId="0" applyNumberFormat="1" applyFont="1" applyFill="1" applyBorder="1" applyAlignment="1">
      <x:alignment horizontal="general" vertical="bottom" wrapText="0"/>
    </x:xf>
    <x:xf numFmtId="201" fontId="0" fillId="10" borderId="3" xfId="0" applyNumberFormat="1" applyFont="1" applyFill="1" applyBorder="1" applyAlignment="1">
      <x:alignment horizontal="general" vertical="bottom" wrapText="0"/>
    </x:xf>
    <x:xf numFmtId="164" fontId="13" fillId="10" borderId="3" xfId="0" applyNumberFormat="1" applyFont="1" applyFill="1" applyBorder="1" applyAlignment="1">
      <x:alignment horizontal="general" vertical="bottom" wrapText="0"/>
    </x:xf>
    <x:xf numFmtId="200" fontId="13" fillId="10" borderId="3" xfId="0" applyNumberFormat="1" applyFont="1" applyFill="1" applyBorder="1" applyAlignment="1">
      <x:alignment horizontal="general" vertical="bottom" wrapText="0"/>
    </x:xf>
    <x:xf numFmtId="201" fontId="13" fillId="10" borderId="3" xfId="0" applyNumberFormat="1" applyFont="1" applyFill="1" applyBorder="1" applyAlignment="1">
      <x:alignment horizontal="general" vertical="bottom" wrapText="0"/>
    </x:xf>
    <x:xf numFmtId="164" fontId="14" fillId="6" borderId="0" xfId="0" applyNumberFormat="1" applyFont="1" applyFill="1" applyBorder="1" applyAlignment="1">
      <x:alignment horizontal="general" vertical="bottom" wrapText="0"/>
    </x:xf>
    <x:xf numFmtId="164" fontId="14" fillId="6" borderId="4" xfId="0" applyNumberFormat="1" applyFont="1" applyFill="1" applyBorder="1" applyAlignment="1">
      <x:alignment horizontal="general" vertical="bottom" wrapText="0"/>
    </x:xf>
    <x:xf numFmtId="164" fontId="14" fillId="6" borderId="5" xfId="0" applyNumberFormat="1" applyFont="1" applyFill="1" applyBorder="1" applyAlignment="1">
      <x:alignment horizontal="general" vertical="bottom" wrapText="0"/>
    </x:xf>
    <x:xf numFmtId="164" fontId="14" fillId="6" borderId="6" xfId="0" applyNumberFormat="1" applyFont="1" applyFill="1" applyBorder="1" applyAlignment="1">
      <x:alignment horizontal="general" vertical="bottom" wrapText="0"/>
    </x:xf>
    <x:xf numFmtId="164" fontId="14" fillId="6" borderId="7" xfId="0" applyNumberFormat="1" applyFont="1" applyFill="1" applyBorder="1" applyAlignment="1">
      <x:alignment horizontal="general" vertical="bottom" wrapText="0"/>
    </x:xf>
    <x:xf numFmtId="164" fontId="14" fillId="6" borderId="8" xfId="0" applyNumberFormat="1" applyFont="1" applyFill="1" applyBorder="1" applyAlignment="1">
      <x:alignment horizontal="general" vertical="bottom" wrapText="0"/>
    </x:xf>
    <x:xf numFmtId="164" fontId="14" fillId="6" borderId="9" xfId="0" applyNumberFormat="1" applyFont="1" applyFill="1" applyBorder="1" applyAlignment="1">
      <x:alignment horizontal="general" vertical="bottom" wrapText="0"/>
    </x:xf>
    <x:xf numFmtId="164" fontId="14" fillId="6" borderId="10" xfId="0" applyNumberFormat="1" applyFont="1" applyFill="1" applyBorder="1" applyAlignment="1">
      <x:alignment horizontal="general" vertical="bottom" wrapText="0"/>
    </x:xf>
    <x:xf numFmtId="164" fontId="14" fillId="6" borderId="11" xfId="0" applyNumberFormat="1" applyFont="1" applyFill="1" applyBorder="1" applyAlignment="1">
      <x:alignment horizontal="general" vertical="bottom" wrapText="0"/>
    </x:xf>
    <x:xf numFmtId="164" fontId="14" fillId="6" borderId="4" xfId="0" applyNumberFormat="1" applyFont="1" applyFill="1" applyBorder="1" applyAlignment="1">
      <x:alignment horizontal="general" vertical="bottom" wrapText="1"/>
    </x:xf>
    <x:xf numFmtId="164" fontId="14" fillId="6" borderId="5" xfId="0" applyNumberFormat="1" applyFont="1" applyFill="1" applyBorder="1" applyAlignment="1">
      <x:alignment horizontal="general" vertical="bottom" wrapText="1"/>
    </x:xf>
    <x:xf numFmtId="164" fontId="14" fillId="6" borderId="6" xfId="0" applyNumberFormat="1" applyFont="1" applyFill="1" applyBorder="1" applyAlignment="1">
      <x:alignment horizontal="general" vertical="bottom" wrapText="1"/>
    </x:xf>
    <x:xf numFmtId="164" fontId="14" fillId="6" borderId="7" xfId="0" applyNumberFormat="1" applyFont="1" applyFill="1" applyBorder="1" applyAlignment="1">
      <x:alignment horizontal="general" vertical="bottom" wrapText="1"/>
    </x:xf>
    <x:xf numFmtId="164" fontId="14" fillId="6" borderId="0" xfId="0" applyNumberFormat="1" applyFont="1" applyFill="1" applyBorder="1" applyAlignment="1">
      <x:alignment horizontal="general" vertical="bottom" wrapText="1"/>
    </x:xf>
    <x:xf numFmtId="164" fontId="14" fillId="6" borderId="8" xfId="0" applyNumberFormat="1" applyFont="1" applyFill="1" applyBorder="1" applyAlignment="1">
      <x:alignment horizontal="general" vertical="bottom" wrapText="1"/>
    </x:xf>
    <x:xf numFmtId="164" fontId="14" fillId="6" borderId="9" xfId="0" applyNumberFormat="1" applyFont="1" applyFill="1" applyBorder="1" applyAlignment="1">
      <x:alignment horizontal="general" vertical="bottom" wrapText="1"/>
    </x:xf>
    <x:xf numFmtId="164" fontId="14" fillId="6" borderId="10" xfId="0" applyNumberFormat="1" applyFont="1" applyFill="1" applyBorder="1" applyAlignment="1">
      <x:alignment horizontal="general" vertical="bottom" wrapText="1"/>
    </x:xf>
    <x:xf numFmtId="164" fontId="14" fillId="6" borderId="11" xfId="0" applyNumberFormat="1" applyFont="1" applyFill="1" applyBorder="1" applyAlignment="1">
      <x:alignment horizontal="general" vertical="bottom" wrapText="1"/>
    </x:xf>
    <x:xf numFmtId="164" fontId="14" fillId="6" borderId="4" xfId="0" applyNumberFormat="1" applyFont="1" applyFill="1" applyBorder="1" applyAlignment="1">
      <x:alignment horizontal="general" vertical="center" wrapText="1"/>
    </x:xf>
    <x:xf numFmtId="164" fontId="14" fillId="6" borderId="5" xfId="0" applyNumberFormat="1" applyFont="1" applyFill="1" applyBorder="1" applyAlignment="1">
      <x:alignment horizontal="general" vertical="center" wrapText="1"/>
    </x:xf>
    <x:xf numFmtId="164" fontId="14" fillId="6" borderId="6" xfId="0" applyNumberFormat="1" applyFont="1" applyFill="1" applyBorder="1" applyAlignment="1">
      <x:alignment horizontal="general" vertical="center" wrapText="1"/>
    </x:xf>
    <x:xf numFmtId="164" fontId="14" fillId="6" borderId="7" xfId="0" applyNumberFormat="1" applyFont="1" applyFill="1" applyBorder="1" applyAlignment="1">
      <x:alignment horizontal="general" vertical="center" wrapText="1"/>
    </x:xf>
    <x:xf numFmtId="164" fontId="14" fillId="6" borderId="0" xfId="0" applyNumberFormat="1" applyFont="1" applyFill="1" applyBorder="1" applyAlignment="1">
      <x:alignment horizontal="general" vertical="center" wrapText="1"/>
    </x:xf>
    <x:xf numFmtId="164" fontId="14" fillId="6" borderId="8" xfId="0" applyNumberFormat="1" applyFont="1" applyFill="1" applyBorder="1" applyAlignment="1">
      <x:alignment horizontal="general" vertical="center" wrapText="1"/>
    </x:xf>
    <x:xf numFmtId="164" fontId="14" fillId="6" borderId="9" xfId="0" applyNumberFormat="1" applyFont="1" applyFill="1" applyBorder="1" applyAlignment="1">
      <x:alignment horizontal="general" vertical="center" wrapText="1"/>
    </x:xf>
    <x:xf numFmtId="164" fontId="14" fillId="6" borderId="10" xfId="0" applyNumberFormat="1" applyFont="1" applyFill="1" applyBorder="1" applyAlignment="1">
      <x:alignment horizontal="general" vertical="center" wrapText="1"/>
    </x:xf>
    <x:xf numFmtId="164" fontId="14" fillId="6" borderId="11" xfId="0" applyNumberFormat="1" applyFont="1" applyFill="1" applyBorder="1" applyAlignment="1">
      <x:alignment horizontal="general" vertical="center" wrapText="1"/>
    </x:xf>
    <x:xf numFmtId="164" fontId="10" fillId="6" borderId="0" xfId="0" applyNumberFormat="1" applyFont="1" applyFill="1" applyBorder="1" applyAlignment="1">
      <x:alignment horizontal="general" vertical="center" wrapText="0"/>
    </x:xf>
    <x:xf numFmtId="164" fontId="9" fillId="5" borderId="2" xfId="0" applyNumberFormat="1" applyFont="1" applyFill="1" applyBorder="1" applyAlignment="1">
      <x:alignment horizontal="general" vertical="bottom" wrapText="0"/>
    </x:xf>
    <x:xf numFmtId="164" fontId="9" fillId="5" borderId="2" xfId="0" applyNumberFormat="1" applyFont="1" applyFill="1" applyBorder="1" applyAlignment="1">
      <x:alignment horizontal="center" vertical="bottom" wrapText="0"/>
    </x:xf>
    <x:xf numFmtId="164" fontId="9" fillId="5" borderId="2" xfId="0" applyNumberFormat="1" applyFont="1" applyFill="1" applyBorder="1" applyAlignment="1">
      <x:alignment horizontal="center" vertical="center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11" fillId="11" borderId="0" xfId="0" applyNumberFormat="1" applyFont="1" applyFill="1" applyBorder="1" applyAlignment="1">
      <x:alignment horizontal="general" vertical="bottom" wrapText="0"/>
    </x:xf>
    <x:xf numFmtId="164" fontId="11" fillId="11" borderId="2" xfId="0" applyNumberFormat="1" applyFont="1" applyFill="1" applyBorder="1" applyAlignment="1">
      <x:alignment horizontal="general" vertical="bottom" wrapText="0"/>
    </x:xf>
    <x:xf numFmtId="200" fontId="11" fillId="11" borderId="2" xfId="0" applyNumberFormat="1" applyFont="1" applyFill="1" applyBorder="1" applyAlignment="1">
      <x:alignment horizontal="general" vertical="bottom" wrapText="0"/>
    </x:xf>
    <x:xf numFmtId="200" fontId="11" fillId="11" borderId="2" xfId="0" applyNumberFormat="1" applyFont="1" applyFill="1" applyBorder="1" applyAlignment="1">
      <x:alignment horizontal="center" vertical="bottom" wrapText="0"/>
    </x:xf>
    <x:xf numFmtId="200" fontId="11" fillId="11" borderId="2" xfId="0" applyNumberFormat="1" applyFont="1" applyFill="1" applyBorder="1" applyAlignment="1">
      <x:alignment horizontal="center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11" fillId="12" borderId="0" xfId="0" applyNumberFormat="1" applyFont="1" applyFill="1" applyBorder="1" applyAlignment="1">
      <x:alignment horizontal="general" vertical="bottom" wrapText="0"/>
    </x:xf>
    <x:xf numFmtId="164" fontId="11" fillId="12" borderId="2" xfId="0" applyNumberFormat="1" applyFont="1" applyFill="1" applyBorder="1" applyAlignment="1">
      <x:alignment horizontal="general" vertical="bottom" wrapText="0"/>
    </x:xf>
    <x:xf numFmtId="200" fontId="11" fillId="12" borderId="2" xfId="0" applyNumberFormat="1" applyFont="1" applyFill="1" applyBorder="1" applyAlignment="1">
      <x:alignment horizontal="general" vertical="bottom" wrapText="0"/>
    </x:xf>
    <x:xf numFmtId="200" fontId="11" fillId="12" borderId="2" xfId="0" applyNumberFormat="1" applyFont="1" applyFill="1" applyBorder="1" applyAlignment="1">
      <x:alignment horizontal="center" vertical="bottom" wrapText="0"/>
    </x:xf>
    <x:xf numFmtId="200" fontId="11" fillId="12" borderId="2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1" fillId="13" borderId="0" xfId="0" applyNumberFormat="1" applyFont="1" applyFill="1" applyBorder="1" applyAlignment="1">
      <x:alignment horizontal="general" vertical="bottom" wrapText="0"/>
    </x:xf>
    <x:xf numFmtId="164" fontId="11" fillId="13" borderId="2" xfId="0" applyNumberFormat="1" applyFont="1" applyFill="1" applyBorder="1" applyAlignment="1">
      <x:alignment horizontal="general" vertical="bottom" wrapText="0"/>
    </x:xf>
    <x:xf numFmtId="200" fontId="11" fillId="13" borderId="2" xfId="0" applyNumberFormat="1" applyFont="1" applyFill="1" applyBorder="1" applyAlignment="1">
      <x:alignment horizontal="general" vertical="bottom" wrapText="0"/>
    </x:xf>
    <x:xf numFmtId="200" fontId="11" fillId="13" borderId="2" xfId="0" applyNumberFormat="1" applyFont="1" applyFill="1" applyBorder="1" applyAlignment="1">
      <x:alignment horizontal="center" vertical="bottom" wrapText="0"/>
    </x:xf>
    <x:xf numFmtId="200" fontId="11" fillId="13" borderId="2" xfId="0" applyNumberFormat="1" applyFont="1" applyFill="1" applyBorder="1" applyAlignment="1">
      <x:alignment horizontal="center" vertical="center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1" fillId="10" borderId="0" xfId="0" applyNumberFormat="1" applyFont="1" applyFill="1" applyBorder="1" applyAlignment="1">
      <x:alignment horizontal="general" vertical="bottom" wrapText="0"/>
    </x:xf>
    <x:xf numFmtId="164" fontId="11" fillId="10" borderId="2" xfId="0" applyNumberFormat="1" applyFont="1" applyFill="1" applyBorder="1" applyAlignment="1">
      <x:alignment horizontal="general" vertical="bottom" wrapText="0"/>
    </x:xf>
    <x:xf numFmtId="200" fontId="11" fillId="10" borderId="2" xfId="0" applyNumberFormat="1" applyFont="1" applyFill="1" applyBorder="1" applyAlignment="1">
      <x:alignment horizontal="general" vertical="bottom" wrapText="0"/>
    </x:xf>
    <x:xf numFmtId="200" fontId="11" fillId="10" borderId="2" xfId="0" applyNumberFormat="1" applyFont="1" applyFill="1" applyBorder="1" applyAlignment="1">
      <x:alignment horizontal="center" vertical="bottom" wrapText="0"/>
    </x:xf>
    <x:xf numFmtId="200" fontId="11" fillId="10" borderId="2" xfId="0" applyNumberFormat="1" applyFont="1" applyFill="1" applyBorder="1" applyAlignment="1">
      <x:alignment horizontal="center" vertical="center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15" fillId="14" borderId="12" xfId="0" applyNumberFormat="1" applyFont="1" applyFill="1" applyBorder="1" applyAlignment="1">
      <x:alignment horizontal="general" vertical="bottom" wrapText="0"/>
    </x:xf>
    <x:xf numFmtId="164" fontId="15" fillId="14" borderId="12" xfId="0" applyNumberFormat="1" applyFont="1" applyFill="1" applyBorder="1" applyAlignment="1">
      <x:alignment horizontal="general" vertical="bottom" wrapText="1"/>
    </x:xf>
    <x:xf numFmtId="164" fontId="15" fillId="14" borderId="12" xfId="0" applyNumberFormat="1" applyFont="1" applyFill="1" applyBorder="1" applyAlignment="1">
      <x:alignment horizontal="general" vertical="center" wrapText="1"/>
    </x:xf>
    <x:xf numFmtId="164" fontId="12" fillId="14" borderId="0" xfId="0" applyNumberFormat="1" applyFont="1" applyFill="1" applyBorder="1" applyAlignment="1">
      <x:alignment horizontal="general" vertical="bottom" wrapText="0"/>
    </x:xf>
    <x:xf numFmtId="164" fontId="12" fillId="14" borderId="12" xfId="0" applyNumberFormat="1" applyFont="1" applyFill="1" applyBorder="1" applyAlignment="1">
      <x:alignment horizontal="general" vertical="bottom" wrapText="0"/>
    </x:xf>
    <x:xf numFmtId="164" fontId="12" fillId="14" borderId="12" xfId="0" applyNumberFormat="1" applyFont="1" applyFill="1" applyBorder="1" applyAlignment="1">
      <x:alignment horizontal="general" vertical="center" wrapText="0"/>
    </x:xf>
    <x:xf numFmtId="200" fontId="12" fillId="14" borderId="12" xfId="0" applyNumberFormat="1" applyFont="1" applyFill="1" applyBorder="1" applyAlignment="1">
      <x:alignment horizontal="general" vertical="center" wrapText="0"/>
    </x:xf>
    <x:xf numFmtId="164" fontId="12" fillId="10" borderId="12" xfId="0" applyNumberFormat="1" applyFont="1" applyFill="1" applyBorder="1" applyAlignment="1">
      <x:alignment horizontal="general" vertical="center" wrapText="0"/>
    </x:xf>
    <x:xf numFmtId="164" fontId="13" fillId="10" borderId="12" xfId="0" applyNumberFormat="1" applyFont="1" applyFill="1" applyBorder="1" applyAlignment="1">
      <x:alignment horizontal="general" vertical="center" wrapText="0"/>
    </x:xf>
    <x:xf numFmtId="164" fontId="13" fillId="10" borderId="12" xfId="0" applyNumberFormat="1" applyFont="1" applyFill="1" applyBorder="1" applyAlignment="1">
      <x:alignment horizontal="center" vertical="center" wrapText="0"/>
    </x:xf>
    <x:xf numFmtId="164" fontId="10" fillId="6" borderId="2" xfId="0" applyNumberFormat="1" applyFont="1" applyFill="1" applyBorder="1" applyAlignment="1">
      <x:alignment horizontal="general" vertical="bottom" wrapText="0"/>
    </x:xf>
    <x:xf numFmtId="164" fontId="10" fillId="6" borderId="2" xfId="0" applyNumberFormat="1" applyFont="1" applyFill="1" applyBorder="1" applyAlignment="1">
      <x:alignment horizontal="general" vertical="bottom" wrapText="1"/>
    </x:xf>
    <x:xf numFmtId="164" fontId="10" fillId="6" borderId="2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b/>
        <x:color rgb="FF9C5700"/>
      </x:font>
      <x:fill>
        <x:patternFill patternType="solid">
          <x:bgColor rgb="FFFDE9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2E75B6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b1f2af686401b" /><Relationship Type="http://schemas.openxmlformats.org/officeDocument/2006/relationships/theme" Target="/xl/theme/theme1.xml" Id="R73f66b124f7d4e63" /><Relationship Type="http://schemas.openxmlformats.org/officeDocument/2006/relationships/sharedStrings" Target="/xl/sharedStrings.xml" Id="R9512a39ed077497f" /><Relationship Type="http://schemas.openxmlformats.org/officeDocument/2006/relationships/worksheet" Target="/xl/worksheets/sheet1.xml" Id="R450d4c14f3ed400d" /><Relationship Type="http://schemas.openxmlformats.org/officeDocument/2006/relationships/worksheet" Target="/xl/worksheets/sheet2.xml" Id="R873c465e0ccd419a" /><Relationship Type="http://schemas.openxmlformats.org/officeDocument/2006/relationships/worksheet" Target="/xl/worksheets/sheet3.xml" Id="Rbe8f86963e364bd4" /><Relationship Type="http://schemas.openxmlformats.org/officeDocument/2006/relationships/worksheet" Target="/xl/worksheets/sheet4.xml" Id="R5e848111daf54d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94c15799af4bca" /><Relationship Type="http://schemas.openxmlformats.org/officeDocument/2006/relationships/chart" Target="/xl/drawings/charts/chart2.xml" Id="Rb82530352cf146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Quantity by Major System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Quantity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'Analysis'!$B$16:$B$24</c:f>
              <c:strCache>
                <c:ptCount val="0"/>
              </c:strCache>
            </c:strRef>
          </c:cat>
          <c:val>
            <c:numRef>
              <c:f>'Analysis'!$C$16:$C$24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Quantity by Material Class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Quantity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'Analysis'!$H$16:$H$23</c:f>
              <c:strCache>
                <c:ptCount val="0"/>
              </c:strCache>
            </c:strRef>
          </c:cat>
          <c:val>
            <c:numRef>
              <c:f>'Analysis'!$I$16:$I$23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94c15799af4bca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2530352cf146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MDataTable" displayName="BOMDataTable" ref="A4:K27" headerRowCount="1" totalsRowCount="0" totalsRowShown="0">
  <x:tableColumns count="11">
    <x:tableColumn id="1" name="Source Row"/>
    <x:tableColumn id="2" name="System #"/>
    <x:tableColumn id="3" name="Major System"/>
    <x:tableColumn id="4" name="Item Group"/>
    <x:tableColumn id="5" name="Component / Part Description"/>
    <x:tableColumn id="6" name="Qty"/>
    <x:tableColumn id="7" name="Assigned Material (Source)"/>
    <x:tableColumn id="8" name="Material Class"/>
    <x:tableColumn id="9" name="Specification Status"/>
    <x:tableColumn id="10" name="Detail Scope"/>
    <x:tableColumn id="11" name="Qty 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a3443ccabf4b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df3782c47884582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2" width="48" hidden="0" customWidth="1"/>
    <x:col min="3" max="3" width="6" hidden="0" customWidth="1"/>
    <x:col min="4" max="4" width="30" hidden="0" customWidth="1"/>
  </x:cols>
  <x:sheetData>
    <x:row r="1" ht="24" hidden="0" customHeight="1">
      <x:c r="A1" s="1" t="s">
        <x:v>0</x:v>
      </x:c>
      <x:c r="B1" s="1"/>
      <x:c r="C1" s="1"/>
      <x:c r="D1" s="1"/>
    </x:row>
    <x:row r="2" ht="25.5" hidden="0" customHeight="1">
      <x:c r="A2" s="2" t="s">
        <x:v>1</x:v>
      </x:c>
      <x:c r="B2" s="2"/>
      <x:c r="C2" s="2"/>
      <x:c r="D2" s="2"/>
    </x:row>
    <x:row r="4" ht="19.5" hidden="0" customHeight="1">
      <x:c r="A4" s="3" t="s">
        <x:v>2</x:v>
      </x:c>
      <x:c r="B4" s="3"/>
      <x:c r="C4" s="3"/>
      <x:c r="D4" s="3"/>
    </x:row>
    <x:row r="5" ht="15" hidden="0">
      <x:c r="A5" s="4" t="s">
        <x:v>3</x:v>
      </x:c>
      <x:c r="B5" s="4" t="s">
        <x:v>4</x:v>
      </x:c>
      <x:c r="C5" s="4" t="s">
        <x:v>5</x:v>
      </x:c>
      <x:c r="D5" s="4" t="s">
        <x:v>6</x:v>
      </x:c>
    </x:row>
    <x:row r="6" ht="15" hidden="0">
      <x:c r="A6" s="5" t="s">
        <x:v>7</x:v>
      </x:c>
      <x:c r="B6" s="5" t="s">
        <x:v>8</x:v>
      </x:c>
      <x:c r="C6" s="6" t="n">
        <x:v>2</x:v>
      </x:c>
      <x:c r="D6" s="5" t="s">
        <x:v>9</x:v>
      </x:c>
    </x:row>
    <x:row r="7" ht="15" hidden="0">
      <x:c r="A7" s="5" t="s">
        <x:v>10</x:v>
      </x:c>
      <x:c r="B7" s="5" t="s">
        <x:v>11</x:v>
      </x:c>
      <x:c r="C7" s="6" t="n">
        <x:v>2</x:v>
      </x:c>
      <x:c r="D7" s="5" t="s">
        <x:v>12</x:v>
      </x:c>
    </x:row>
    <x:row r="9" ht="19.5" hidden="0" customHeight="1">
      <x:c r="A9" s="3" t="s">
        <x:v>13</x:v>
      </x:c>
      <x:c r="B9" s="3"/>
      <x:c r="C9" s="3"/>
      <x:c r="D9" s="3"/>
    </x:row>
    <x:row r="10" ht="15" hidden="0">
      <x:c r="A10" s="4" t="s">
        <x:v>3</x:v>
      </x:c>
      <x:c r="B10" s="4" t="s">
        <x:v>4</x:v>
      </x:c>
      <x:c r="C10" s="4" t="s">
        <x:v>5</x:v>
      </x:c>
      <x:c r="D10" s="4" t="s">
        <x:v>6</x:v>
      </x:c>
    </x:row>
    <x:row r="11" ht="15" hidden="0">
      <x:c r="A11" s="5" t="s">
        <x:v>14</x:v>
      </x:c>
      <x:c r="B11" s="5" t="s">
        <x:v>15</x:v>
      </x:c>
      <x:c r="C11" s="6" t="n">
        <x:v>2</x:v>
      </x:c>
      <x:c r="D11" s="5" t="s">
        <x:v>16</x:v>
      </x:c>
    </x:row>
    <x:row r="12" ht="15" hidden="0">
      <x:c r="A12" s="5" t="s">
        <x:v>17</x:v>
      </x:c>
      <x:c r="B12" s="5" t="s">
        <x:v>18</x:v>
      </x:c>
      <x:c r="C12" s="6" t="n">
        <x:v>2</x:v>
      </x:c>
      <x:c r="D12" s="5" t="s">
        <x:v>12</x:v>
      </x:c>
    </x:row>
    <x:row r="13" ht="15" hidden="0">
      <x:c r="A13" s="5" t="s">
        <x:v>19</x:v>
      </x:c>
      <x:c r="B13" s="5" t="s">
        <x:v>20</x:v>
      </x:c>
      <x:c r="C13" s="6" t="n">
        <x:v>2</x:v>
      </x:c>
      <x:c r="D13" s="5" t="s">
        <x:v>21</x:v>
      </x:c>
    </x:row>
    <x:row r="15" ht="19.5" hidden="0" customHeight="1">
      <x:c r="A15" s="3" t="s">
        <x:v>22</x:v>
      </x:c>
      <x:c r="B15" s="3"/>
      <x:c r="C15" s="3"/>
      <x:c r="D15" s="3"/>
    </x:row>
    <x:row r="16" ht="15" hidden="0">
      <x:c r="A16" s="4" t="s">
        <x:v>3</x:v>
      </x:c>
      <x:c r="B16" s="4" t="s">
        <x:v>4</x:v>
      </x:c>
      <x:c r="C16" s="4" t="s">
        <x:v>5</x:v>
      </x:c>
      <x:c r="D16" s="4" t="s">
        <x:v>6</x:v>
      </x:c>
    </x:row>
    <x:row r="17" ht="15" hidden="0">
      <x:c r="A17" s="5" t="s">
        <x:v>23</x:v>
      </x:c>
      <x:c r="B17" s="5" t="s">
        <x:v>24</x:v>
      </x:c>
      <x:c r="C17" s="6" t="n">
        <x:v>3</x:v>
      </x:c>
      <x:c r="D17" s="5" t="s">
        <x:v>9</x:v>
      </x:c>
    </x:row>
    <x:row r="18" ht="15" hidden="0">
      <x:c r="A18" s="5" t="s">
        <x:v>25</x:v>
      </x:c>
      <x:c r="B18" s="5" t="s">
        <x:v>26</x:v>
      </x:c>
      <x:c r="C18" s="6" t="n">
        <x:v>1</x:v>
      </x:c>
      <x:c r="D18" s="5" t="s">
        <x:v>9</x:v>
      </x:c>
    </x:row>
    <x:row r="19" ht="15" hidden="0">
      <x:c r="A19" s="5" t="s">
        <x:v>27</x:v>
      </x:c>
      <x:c r="B19" s="5" t="s">
        <x:v>28</x:v>
      </x:c>
      <x:c r="C19" s="6" t="n">
        <x:v>1</x:v>
      </x:c>
      <x:c r="D19" s="5" t="s">
        <x:v>9</x:v>
      </x:c>
    </x:row>
    <x:row r="20" ht="15" hidden="0">
      <x:c r="A20" s="5" t="s">
        <x:v>29</x:v>
      </x:c>
      <x:c r="B20" s="5" t="s">
        <x:v>30</x:v>
      </x:c>
      <x:c r="C20" s="6" t="n">
        <x:v>8</x:v>
      </x:c>
      <x:c r="D20" s="5" t="s">
        <x:v>9</x:v>
      </x:c>
    </x:row>
    <x:row r="21" ht="15" hidden="0">
      <x:c r="A21" s="5" t="s">
        <x:v>31</x:v>
      </x:c>
      <x:c r="B21" s="5" t="s">
        <x:v>32</x:v>
      </x:c>
      <x:c r="C21" s="6" t="n">
        <x:v>37</x:v>
      </x:c>
      <x:c r="D21" s="5" t="s">
        <x:v>9</x:v>
      </x:c>
    </x:row>
    <x:row r="22" ht="15" hidden="0">
      <x:c r="A22" s="5" t="s">
        <x:v>33</x:v>
      </x:c>
      <x:c r="B22" s="5" t="s">
        <x:v>34</x:v>
      </x:c>
      <x:c r="C22" s="6" t="n">
        <x:v>4</x:v>
      </x:c>
      <x:c r="D22" s="5" t="s">
        <x:v>35</x:v>
      </x:c>
    </x:row>
    <x:row r="24" ht="19.5" hidden="0" customHeight="1">
      <x:c r="A24" s="3" t="s">
        <x:v>36</x:v>
      </x:c>
      <x:c r="B24" s="3"/>
      <x:c r="C24" s="3"/>
      <x:c r="D24" s="3"/>
    </x:row>
    <x:row r="25" ht="15" hidden="0">
      <x:c r="A25" s="4" t="s">
        <x:v>3</x:v>
      </x:c>
      <x:c r="B25" s="4" t="s">
        <x:v>4</x:v>
      </x:c>
      <x:c r="C25" s="4" t="s">
        <x:v>5</x:v>
      </x:c>
      <x:c r="D25" s="4" t="s">
        <x:v>6</x:v>
      </x:c>
    </x:row>
    <x:row r="26" ht="15" hidden="0">
      <x:c r="A26" s="5" t="s">
        <x:v>37</x:v>
      </x:c>
      <x:c r="B26" s="5" t="s">
        <x:v>38</x:v>
      </x:c>
      <x:c r="C26" s="6" t="n">
        <x:v>8</x:v>
      </x:c>
      <x:c r="D26" s="5" t="s">
        <x:v>39</x:v>
      </x:c>
    </x:row>
    <x:row r="27" ht="15" hidden="0">
      <x:c r="A27" s="5" t="s">
        <x:v>40</x:v>
      </x:c>
      <x:c r="B27" s="5" t="s">
        <x:v>41</x:v>
      </x:c>
      <x:c r="C27" s="6" t="n">
        <x:v>13</x:v>
      </x:c>
      <x:c r="D27" s="5" t="s">
        <x:v>12</x:v>
      </x:c>
    </x:row>
    <x:row r="29" ht="19.5" hidden="0" customHeight="1">
      <x:c r="A29" s="3" t="s">
        <x:v>42</x:v>
      </x:c>
      <x:c r="B29" s="3"/>
      <x:c r="C29" s="3"/>
      <x:c r="D29" s="3"/>
    </x:row>
    <x:row r="30" ht="15" hidden="0">
      <x:c r="A30" s="4" t="s">
        <x:v>3</x:v>
      </x:c>
      <x:c r="B30" s="4" t="s">
        <x:v>4</x:v>
      </x:c>
      <x:c r="C30" s="4" t="s">
        <x:v>5</x:v>
      </x:c>
      <x:c r="D30" s="4" t="s">
        <x:v>6</x:v>
      </x:c>
    </x:row>
    <x:row r="31" ht="23.850000381469727" hidden="0">
      <x:c r="A31" s="5" t="s">
        <x:v>43</x:v>
      </x:c>
      <x:c r="B31" s="5" t="s">
        <x:v>44</x:v>
      </x:c>
      <x:c r="C31" s="6" t="n">
        <x:v>16</x:v>
      </x:c>
      <x:c r="D31" s="5" t="s">
        <x:v>9</x:v>
      </x:c>
    </x:row>
    <x:row r="33" ht="19.5" hidden="0" customHeight="1">
      <x:c r="A33" s="3" t="s">
        <x:v>45</x:v>
      </x:c>
      <x:c r="B33" s="3"/>
      <x:c r="C33" s="3"/>
      <x:c r="D33" s="3"/>
    </x:row>
    <x:row r="34" ht="15" hidden="0">
      <x:c r="A34" s="4" t="s">
        <x:v>3</x:v>
      </x:c>
      <x:c r="B34" s="4" t="s">
        <x:v>4</x:v>
      </x:c>
      <x:c r="C34" s="4" t="s">
        <x:v>5</x:v>
      </x:c>
      <x:c r="D34" s="4" t="s">
        <x:v>6</x:v>
      </x:c>
    </x:row>
    <x:row r="35" ht="15" hidden="0">
      <x:c r="A35" s="5" t="s">
        <x:v>46</x:v>
      </x:c>
      <x:c r="B35" s="5" t="s">
        <x:v>47</x:v>
      </x:c>
      <x:c r="C35" s="6" t="n">
        <x:v>2</x:v>
      </x:c>
      <x:c r="D35" s="5" t="s">
        <x:v>48</x:v>
      </x:c>
    </x:row>
    <x:row r="36" ht="23.850000381469727" hidden="0">
      <x:c r="A36" s="5" t="s">
        <x:v>49</x:v>
      </x:c>
      <x:c r="B36" s="5" t="s">
        <x:v>50</x:v>
      </x:c>
      <x:c r="C36" s="6" t="n">
        <x:v>6</x:v>
      </x:c>
      <x:c r="D36" s="5" t="s">
        <x:v>51</x:v>
      </x:c>
    </x:row>
    <x:row r="38" ht="19.5" hidden="0" customHeight="1">
      <x:c r="A38" s="3" t="s">
        <x:v>52</x:v>
      </x:c>
      <x:c r="B38" s="3"/>
      <x:c r="C38" s="3"/>
      <x:c r="D38" s="3"/>
    </x:row>
    <x:row r="39" ht="15" hidden="0">
      <x:c r="A39" s="4" t="s">
        <x:v>3</x:v>
      </x:c>
      <x:c r="B39" s="4" t="s">
        <x:v>4</x:v>
      </x:c>
      <x:c r="C39" s="4" t="s">
        <x:v>5</x:v>
      </x:c>
      <x:c r="D39" s="4" t="s">
        <x:v>6</x:v>
      </x:c>
    </x:row>
    <x:row r="40" ht="15" hidden="0">
      <x:c r="A40" s="5" t="s">
        <x:v>53</x:v>
      </x:c>
      <x:c r="B40" s="5" t="s">
        <x:v>54</x:v>
      </x:c>
      <x:c r="C40" s="6" t="n">
        <x:v>2</x:v>
      </x:c>
      <x:c r="D40" s="5" t="s">
        <x:v>55</x:v>
      </x:c>
    </x:row>
    <x:row r="41" ht="15" hidden="0">
      <x:c r="A41" s="5" t="s">
        <x:v>56</x:v>
      </x:c>
      <x:c r="B41" s="5" t="s">
        <x:v>57</x:v>
      </x:c>
      <x:c r="C41" s="6" t="n">
        <x:v>1</x:v>
      </x:c>
      <x:c r="D41" s="5" t="s">
        <x:v>58</x:v>
      </x:c>
    </x:row>
    <x:row r="42" ht="15" hidden="0">
      <x:c r="A42" s="5" t="s">
        <x:v>59</x:v>
      </x:c>
      <x:c r="B42" s="5" t="s">
        <x:v>60</x:v>
      </x:c>
      <x:c r="C42" s="6" t="n">
        <x:v>6</x:v>
      </x:c>
      <x:c r="D42" s="5" t="s">
        <x:v>61</x:v>
      </x:c>
    </x:row>
    <x:row r="43" ht="15" hidden="0">
      <x:c r="A43" s="5" t="s">
        <x:v>62</x:v>
      </x:c>
      <x:c r="B43" s="5" t="s">
        <x:v>63</x:v>
      </x:c>
      <x:c r="C43" s="6" t="n">
        <x:v>17</x:v>
      </x:c>
      <x:c r="D43" s="5" t="s">
        <x:v>64</x:v>
      </x:c>
    </x:row>
    <x:row r="45" ht="19.5" hidden="0" customHeight="1">
      <x:c r="A45" s="3" t="s">
        <x:v>65</x:v>
      </x:c>
      <x:c r="B45" s="3"/>
      <x:c r="C45" s="3"/>
      <x:c r="D45" s="3"/>
    </x:row>
    <x:row r="46" ht="15" hidden="0">
      <x:c r="A46" s="4" t="s">
        <x:v>3</x:v>
      </x:c>
      <x:c r="B46" s="4" t="s">
        <x:v>4</x:v>
      </x:c>
      <x:c r="C46" s="4" t="s">
        <x:v>5</x:v>
      </x:c>
      <x:c r="D46" s="4" t="s">
        <x:v>6</x:v>
      </x:c>
    </x:row>
    <x:row r="47" ht="15" hidden="0">
      <x:c r="A47" s="5" t="s">
        <x:v>66</x:v>
      </x:c>
      <x:c r="B47" s="5" t="s">
        <x:v>67</x:v>
      </x:c>
      <x:c r="C47" s="6" t="n">
        <x:v>1</x:v>
      </x:c>
      <x:c r="D47" s="5" t="s">
        <x:v>9</x:v>
      </x:c>
    </x:row>
    <x:row r="48" ht="15" hidden="0">
      <x:c r="A48" s="5" t="s">
        <x:v>68</x:v>
      </x:c>
      <x:c r="B48" s="5" t="s">
        <x:v>69</x:v>
      </x:c>
      <x:c r="C48" s="6" t="n">
        <x:v>1</x:v>
      </x:c>
      <x:c r="D48" s="5" t="s">
        <x:v>70</x:v>
      </x:c>
    </x:row>
    <x:row r="50" ht="19.5" hidden="0" customHeight="1">
      <x:c r="A50" s="3" t="s">
        <x:v>71</x:v>
      </x:c>
      <x:c r="B50" s="3"/>
      <x:c r="C50" s="3"/>
      <x:c r="D50" s="3"/>
    </x:row>
    <x:row r="51" ht="15" hidden="0">
      <x:c r="A51" s="4" t="s">
        <x:v>3</x:v>
      </x:c>
      <x:c r="B51" s="4" t="s">
        <x:v>4</x:v>
      </x:c>
      <x:c r="C51" s="4" t="s">
        <x:v>5</x:v>
      </x:c>
      <x:c r="D51" s="4" t="s">
        <x:v>6</x:v>
      </x:c>
    </x:row>
    <x:row r="52" ht="15" hidden="0">
      <x:c r="A52" s="5" t="s">
        <x:v>72</x:v>
      </x:c>
      <x:c r="B52" s="5" t="s">
        <x:v>73</x:v>
      </x:c>
      <x:c r="C52" s="6" t="n">
        <x:v>85</x:v>
      </x:c>
      <x:c r="D52" s="5" t="s">
        <x:v>74</x:v>
      </x:c>
    </x:row>
  </x:sheetData>
  <x:mergeCells>
    <x:mergeCell ref="A1:D1"/>
    <x:mergeCell ref="A2:D2"/>
    <x:mergeCell ref="A4:D4"/>
    <x:mergeCell ref="A9:D9"/>
    <x:mergeCell ref="A15:D15"/>
    <x:mergeCell ref="A24:D24"/>
    <x:mergeCell ref="A29:D29"/>
    <x:mergeCell ref="A33:D33"/>
    <x:mergeCell ref="A38:D38"/>
    <x:mergeCell ref="A45:D45"/>
    <x:mergeCell ref="A50:D5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31" hidden="0" customWidth="1"/>
    <x:col min="4" max="4" width="27" hidden="0" customWidth="1"/>
    <x:col min="5" max="5" width="46" hidden="0" customWidth="1"/>
    <x:col min="6" max="6" width="10" hidden="0" customWidth="1"/>
    <x:col min="7" max="7" width="32" hidden="0" customWidth="1"/>
    <x:col min="8" max="8" width="26" hidden="0" customWidth="1"/>
    <x:col min="9" max="9" width="18" hidden="0" customWidth="1"/>
    <x:col min="10" max="10" width="14" hidden="0" customWidth="1"/>
    <x:col min="11" max="11" width="12" hidden="0" customWidth="1"/>
  </x:cols>
  <x:sheetData>
    <x:row r="1" ht="30" customHeight="1">
      <x:c r="A1" s="10" t="str">
        <x:v>LNG BUNKERING STATION — NORMALIZED BOM DATA</x:v>
      </x:c>
    </x:row>
    <x:row r="2" ht="32" customHeight="1">
      <x:c r="A2" s="14" t="str">
        <x:v>Source-linked analysis table. Material classification and review status are planning aids derived from the source BOM; confirm against project material specifications before procurement.</x:v>
      </x:c>
    </x:row>
    <x:row r="4" ht="28" customHeight="1">
      <x:c r="A4" s="21" t="str">
        <x:v>Source Row</x:v>
      </x:c>
      <x:c r="B4" s="21" t="str">
        <x:v>System #</x:v>
      </x:c>
      <x:c r="C4" s="21" t="str">
        <x:v>Major System</x:v>
      </x:c>
      <x:c r="D4" s="21" t="str">
        <x:v>Item Group</x:v>
      </x:c>
      <x:c r="E4" s="21" t="str">
        <x:v>Component / Part Description</x:v>
      </x:c>
      <x:c r="F4" s="21" t="str">
        <x:v>Qty</x:v>
      </x:c>
      <x:c r="G4" s="21" t="str">
        <x:v>Assigned Material (Source)</x:v>
      </x:c>
      <x:c r="H4" s="21" t="str">
        <x:v>Material Class</x:v>
      </x:c>
      <x:c r="I4" s="21" t="str">
        <x:v>Specification Status</x:v>
      </x:c>
      <x:c r="J4" s="21" t="str">
        <x:v>Detail Scope</x:v>
      </x:c>
      <x:c r="K4" s="21" t="str">
        <x:v>Qty Share</x:v>
      </x:c>
    </x:row>
    <x:row r="5" ht="26" customHeight="1">
      <x:c r="A5" s="25" t="n">
        <x:v>6</x:v>
      </x:c>
      <x:c r="B5" s="25" t="n">
        <x:v>1</x:v>
      </x:c>
      <x:c r="C5" s="24" t="str">
        <x:v>Vessel / Tank Components</x:v>
      </x:c>
      <x:c r="D5" s="24" t="str">
        <x:f>'Simplified BOM'!A6</x:f>
        <x:v>Inner Vessel Shell</x:v>
      </x:c>
      <x:c r="E5" s="24" t="str">
        <x:f>'Simplified BOM'!B6</x:f>
        <x:v>liquid tank, liquid tank-01 (inner cryogenic vessel bodies)</x:v>
      </x:c>
      <x:c r="F5" s="27" t="n">
        <x:f>'Simplified BOM'!C6</x:f>
        <x:v>2</x:v>
      </x:c>
      <x:c r="G5" s="24" t="str">
        <x:f>'Simplified BOM'!D6</x:f>
        <x:v>SS 316L</x:v>
      </x:c>
      <x:c r="H5" s="24" t="str">
        <x:v>Stainless Steel 316</x:v>
      </x:c>
      <x:c r="I5" s="24" t="str">
        <x:v>Specified</x:v>
      </x:c>
      <x:c r="J5" s="24" t="str">
        <x:v>Detail</x:v>
      </x:c>
      <x:c r="K5" s="28" t="n">
        <x:f>F5/SUM($F$5:$F$27)</x:f>
        <x:v>0.009009009009009009</x:v>
      </x:c>
    </x:row>
    <x:row r="6" ht="26" customHeight="1">
      <x:c r="A6" s="25" t="n">
        <x:v>7</x:v>
      </x:c>
      <x:c r="B6" s="25" t="n">
        <x:v>1</x:v>
      </x:c>
      <x:c r="C6" s="24" t="str">
        <x:v>Vessel / Tank Components</x:v>
      </x:c>
      <x:c r="D6" s="24" t="str">
        <x:f>'Simplified BOM'!A7</x:f>
        <x:v>Outer Vacuum Jacket</x:v>
      </x:c>
      <x:c r="E6" s="24" t="str">
        <x:f>'Simplified BOM'!B7</x:f>
        <x:v>liquid tank-1, liquid tank-12 (outer jacket shell bodies)</x:v>
      </x:c>
      <x:c r="F6" s="27" t="n">
        <x:f>'Simplified BOM'!C7</x:f>
        <x:v>2</x:v>
      </x:c>
      <x:c r="G6" s="24" t="str">
        <x:f>'Simplified BOM'!D7</x:f>
        <x:v>SS 304</x:v>
      </x:c>
      <x:c r="H6" s="24" t="str">
        <x:v>Stainless Steel 304</x:v>
      </x:c>
      <x:c r="I6" s="24" t="str">
        <x:v>Specified</x:v>
      </x:c>
      <x:c r="J6" s="24" t="str">
        <x:v>Detail</x:v>
      </x:c>
      <x:c r="K6" s="28" t="n">
        <x:f>F6/SUM($F$5:$F$27)</x:f>
        <x:v>0.009009009009009009</x:v>
      </x:c>
    </x:row>
    <x:row r="7" ht="26" customHeight="1">
      <x:c r="A7" s="25" t="n">
        <x:v>11</x:v>
      </x:c>
      <x:c r="B7" s="25" t="n">
        <x:v>2</x:v>
      </x:c>
      <x:c r="C7" s="24" t="str">
        <x:v>Structural Supports &amp; Frame</x:v>
      </x:c>
      <x:c r="D7" s="24" t="str">
        <x:f>'Simplified BOM'!A11</x:f>
        <x:v>Base Frame / Deck</x:v>
      </x:c>
      <x:c r="E7" s="24" t="str">
        <x:f>'Simplified BOM'!B11</x:f>
        <x:v>Base structure, Floor Plan</x:v>
      </x:c>
      <x:c r="F7" s="27" t="n">
        <x:f>'Simplified BOM'!C11</x:f>
        <x:v>2</x:v>
      </x:c>
      <x:c r="G7" s="24" t="str">
        <x:f>'Simplified BOM'!D11</x:f>
        <x:v>Carbon Steel A36</x:v>
      </x:c>
      <x:c r="H7" s="24" t="str">
        <x:v>Carbon Steel</x:v>
      </x:c>
      <x:c r="I7" s="24" t="str">
        <x:v>Specified</x:v>
      </x:c>
      <x:c r="J7" s="24" t="str">
        <x:v>Detail</x:v>
      </x:c>
      <x:c r="K7" s="28" t="n">
        <x:f>F7/SUM($F$5:$F$27)</x:f>
        <x:v>0.009009009009009009</x:v>
      </x:c>
    </x:row>
    <x:row r="8" ht="26" customHeight="1">
      <x:c r="A8" s="25" t="n">
        <x:v>12</x:v>
      </x:c>
      <x:c r="B8" s="25" t="n">
        <x:v>2</x:v>
      </x:c>
      <x:c r="C8" s="24" t="str">
        <x:v>Structural Supports &amp; Frame</x:v>
      </x:c>
      <x:c r="D8" s="24" t="str">
        <x:f>'Simplified BOM'!A12</x:f>
        <x:v>Cladding Panels</x:v>
      </x:c>
      <x:c r="E8" s="24" t="str">
        <x:f>'Simplified BOM'!B12</x:f>
        <x:v>Facing, Facing-A</x:v>
      </x:c>
      <x:c r="F8" s="27" t="n">
        <x:f>'Simplified BOM'!C12</x:f>
        <x:v>2</x:v>
      </x:c>
      <x:c r="G8" s="24" t="str">
        <x:f>'Simplified BOM'!D12</x:f>
        <x:v>SS 304</x:v>
      </x:c>
      <x:c r="H8" s="24" t="str">
        <x:v>Stainless Steel 304</x:v>
      </x:c>
      <x:c r="I8" s="24" t="str">
        <x:v>Specified</x:v>
      </x:c>
      <x:c r="J8" s="24" t="str">
        <x:v>Detail</x:v>
      </x:c>
      <x:c r="K8" s="28" t="n">
        <x:f>F8/SUM($F$5:$F$27)</x:f>
        <x:v>0.009009009009009009</x:v>
      </x:c>
    </x:row>
    <x:row r="9" ht="26" customHeight="1">
      <x:c r="A9" s="25" t="n">
        <x:v>13</x:v>
      </x:c>
      <x:c r="B9" s="25" t="n">
        <x:v>2</x:v>
      </x:c>
      <x:c r="C9" s="24" t="str">
        <x:v>Structural Supports &amp; Frame</x:v>
      </x:c>
      <x:c r="D9" s="24" t="str">
        <x:f>'Simplified BOM'!A13</x:f>
        <x:v>Equipment Stand &amp; Tray</x:v>
      </x:c>
      <x:c r="E9" s="24" t="str">
        <x:f>'Simplified BOM'!B13</x:f>
        <x:v>stand, Keyboard tray</x:v>
      </x:c>
      <x:c r="F9" s="27" t="n">
        <x:f>'Simplified BOM'!C13</x:f>
        <x:v>2</x:v>
      </x:c>
      <x:c r="G9" s="24" t="str">
        <x:f>'Simplified BOM'!D13</x:f>
        <x:v>Carbon Steel A36 / Aluminium 6061</x:v>
      </x:c>
      <x:c r="H9" s="24" t="str">
        <x:v>Mixed Material</x:v>
      </x:c>
      <x:c r="I9" s="24" t="str">
        <x:v>Specified</x:v>
      </x:c>
      <x:c r="J9" s="24" t="str">
        <x:v>Detail</x:v>
      </x:c>
      <x:c r="K9" s="28" t="n">
        <x:f>F9/SUM($F$5:$F$27)</x:f>
        <x:v>0.009009009009009009</x:v>
      </x:c>
    </x:row>
    <x:row r="10" ht="26" customHeight="1">
      <x:c r="A10" s="25" t="n">
        <x:v>17</x:v>
      </x:c>
      <x:c r="B10" s="25" t="n">
        <x:v>3</x:v>
      </x:c>
      <x:c r="C10" s="24" t="str">
        <x:v>Piping Components</x:v>
      </x:c>
      <x:c r="D10" s="24" t="str">
        <x:f>'Simplified BOM'!A17</x:f>
        <x:v>DN150 Piping</x:v>
      </x:c>
      <x:c r="E10" s="24" t="str">
        <x:f>'Simplified BOM'!B17</x:f>
        <x:v>3 pipe segments (DIN150-PN16 series)</x:v>
      </x:c>
      <x:c r="F10" s="27" t="n">
        <x:f>'Simplified BOM'!C17</x:f>
        <x:v>3</x:v>
      </x:c>
      <x:c r="G10" s="24" t="str">
        <x:f>'Simplified BOM'!D17</x:f>
        <x:v>SS 316L</x:v>
      </x:c>
      <x:c r="H10" s="24" t="str">
        <x:v>Stainless Steel 316</x:v>
      </x:c>
      <x:c r="I10" s="24" t="str">
        <x:v>Specified</x:v>
      </x:c>
      <x:c r="J10" s="24" t="str">
        <x:v>Detail</x:v>
      </x:c>
      <x:c r="K10" s="28" t="n">
        <x:f>F10/SUM($F$5:$F$27)</x:f>
        <x:v>0.013513513513513514</x:v>
      </x:c>
    </x:row>
    <x:row r="11" ht="26" customHeight="1">
      <x:c r="A11" s="25" t="n">
        <x:v>18</x:v>
      </x:c>
      <x:c r="B11" s="25" t="n">
        <x:v>3</x:v>
      </x:c>
      <x:c r="C11" s="24" t="str">
        <x:v>Piping Components</x:v>
      </x:c>
      <x:c r="D11" s="24" t="str">
        <x:f>'Simplified BOM'!A18</x:f>
        <x:v>DN100–DN150 Transition</x:v>
      </x:c>
      <x:c r="E11" s="24" t="str">
        <x:f>'Simplified BOM'!B18</x:f>
        <x:v>Reducer/transition run</x:v>
      </x:c>
      <x:c r="F11" s="27" t="n">
        <x:f>'Simplified BOM'!C18</x:f>
        <x:v>1</x:v>
      </x:c>
      <x:c r="G11" s="24" t="str">
        <x:f>'Simplified BOM'!D18</x:f>
        <x:v>SS 316L</x:v>
      </x:c>
      <x:c r="H11" s="24" t="str">
        <x:v>Stainless Steel 316</x:v>
      </x:c>
      <x:c r="I11" s="24" t="str">
        <x:v>Specified</x:v>
      </x:c>
      <x:c r="J11" s="24" t="str">
        <x:v>Detail</x:v>
      </x:c>
      <x:c r="K11" s="28" t="n">
        <x:f>F11/SUM($F$5:$F$27)</x:f>
        <x:v>0.0045045045045045045</x:v>
      </x:c>
    </x:row>
    <x:row r="12" ht="26" customHeight="1">
      <x:c r="A12" s="25" t="n">
        <x:v>19</x:v>
      </x:c>
      <x:c r="B12" s="25" t="n">
        <x:v>3</x:v>
      </x:c>
      <x:c r="C12" s="24" t="str">
        <x:v>Piping Components</x:v>
      </x:c>
      <x:c r="D12" s="24" t="str">
        <x:f>'Simplified BOM'!A19</x:f>
        <x:v>DN100 Piping</x:v>
      </x:c>
      <x:c r="E12" s="24" t="str">
        <x:f>'Simplified BOM'!B19</x:f>
        <x:v>1 pipe segment</x:v>
      </x:c>
      <x:c r="F12" s="27" t="n">
        <x:f>'Simplified BOM'!C19</x:f>
        <x:v>1</x:v>
      </x:c>
      <x:c r="G12" s="24" t="str">
        <x:f>'Simplified BOM'!D19</x:f>
        <x:v>SS 316L</x:v>
      </x:c>
      <x:c r="H12" s="24" t="str">
        <x:v>Stainless Steel 316</x:v>
      </x:c>
      <x:c r="I12" s="24" t="str">
        <x:v>Specified</x:v>
      </x:c>
      <x:c r="J12" s="24" t="str">
        <x:v>Detail</x:v>
      </x:c>
      <x:c r="K12" s="28" t="n">
        <x:f>F12/SUM($F$5:$F$27)</x:f>
        <x:v>0.0045045045045045045</x:v>
      </x:c>
    </x:row>
    <x:row r="13" ht="26" customHeight="1">
      <x:c r="A13" s="25" t="n">
        <x:v>20</x:v>
      </x:c>
      <x:c r="B13" s="25" t="n">
        <x:v>3</x:v>
      </x:c>
      <x:c r="C13" s="24" t="str">
        <x:v>Piping Components</x:v>
      </x:c>
      <x:c r="D13" s="24" t="str">
        <x:f>'Simplified BOM'!A20</x:f>
        <x:v>DN80/40 Piping</x:v>
      </x:c>
      <x:c r="E13" s="24" t="str">
        <x:f>'Simplified BOM'!B20</x:f>
        <x:v>6 pipe segments (reducing/branch runs)</x:v>
      </x:c>
      <x:c r="F13" s="27" t="n">
        <x:f>'Simplified BOM'!C20</x:f>
        <x:v>8</x:v>
      </x:c>
      <x:c r="G13" s="24" t="str">
        <x:f>'Simplified BOM'!D20</x:f>
        <x:v>SS 316L</x:v>
      </x:c>
      <x:c r="H13" s="24" t="str">
        <x:v>Stainless Steel 316</x:v>
      </x:c>
      <x:c r="I13" s="24" t="str">
        <x:v>Specified</x:v>
      </x:c>
      <x:c r="J13" s="24" t="str">
        <x:v>Detail</x:v>
      </x:c>
      <x:c r="K13" s="28" t="n">
        <x:f>F13/SUM($F$5:$F$27)</x:f>
        <x:v>0.036036036036036036</x:v>
      </x:c>
    </x:row>
    <x:row r="14" ht="26" customHeight="1">
      <x:c r="A14" s="25" t="n">
        <x:v>21</x:v>
      </x:c>
      <x:c r="B14" s="25" t="n">
        <x:v>3</x:v>
      </x:c>
      <x:c r="C14" s="24" t="str">
        <x:v>Piping Components</x:v>
      </x:c>
      <x:c r="D14" s="24" t="str">
        <x:f>'Simplified BOM'!A21</x:f>
        <x:v>DN50 Piping</x:v>
      </x:c>
      <x:c r="E14" s="24" t="str">
        <x:f>'Simplified BOM'!B21</x:f>
        <x:v>35 pipe run segments (routing/spool variants)</x:v>
      </x:c>
      <x:c r="F14" s="27" t="n">
        <x:f>'Simplified BOM'!C21</x:f>
        <x:v>37</x:v>
      </x:c>
      <x:c r="G14" s="24" t="str">
        <x:f>'Simplified BOM'!D21</x:f>
        <x:v>SS 316L</x:v>
      </x:c>
      <x:c r="H14" s="24" t="str">
        <x:v>Stainless Steel 316</x:v>
      </x:c>
      <x:c r="I14" s="24" t="str">
        <x:v>Specified</x:v>
      </x:c>
      <x:c r="J14" s="24" t="str">
        <x:v>Detail</x:v>
      </x:c>
      <x:c r="K14" s="28" t="n">
        <x:f>F14/SUM($F$5:$F$27)</x:f>
        <x:v>0.16666666666666666</x:v>
      </x:c>
    </x:row>
    <x:row r="15" ht="26" customHeight="1">
      <x:c r="A15" s="25" t="n">
        <x:v>22</x:v>
      </x:c>
      <x:c r="B15" s="25" t="n">
        <x:v>3</x:v>
      </x:c>
      <x:c r="C15" s="24" t="str">
        <x:v>Piping Components</x:v>
      </x:c>
      <x:c r="D15" s="24" t="str">
        <x:f>'Simplified BOM'!A22</x:f>
        <x:v>DN20 Piping/Fitting Set</x:v>
      </x:c>
      <x:c r="E15" s="24" t="str">
        <x:f>'Simplified BOM'!B22</x:f>
        <x:v>Vendor-named cryogenic fitting set (4 items)</x:v>
      </x:c>
      <x:c r="F15" s="27" t="n">
        <x:f>'Simplified BOM'!C22</x:f>
        <x:v>4</x:v>
      </x:c>
      <x:c r="G15" s="24" t="str">
        <x:f>'Simplified BOM'!D22</x:f>
        <x:v>SS 316L (vendor std.)</x:v>
      </x:c>
      <x:c r="H15" s="24" t="str">
        <x:v>Stainless Steel 316 (Vendor Std)</x:v>
      </x:c>
      <x:c r="I15" s="24" t="str">
        <x:v>Needs Review</x:v>
      </x:c>
      <x:c r="J15" s="24" t="str">
        <x:v>Detail</x:v>
      </x:c>
      <x:c r="K15" s="28" t="n">
        <x:f>F15/SUM($F$5:$F$27)</x:f>
        <x:v>0.018018018018018018</x:v>
      </x:c>
    </x:row>
    <x:row r="16" ht="26" customHeight="1">
      <x:c r="A16" s="25" t="n">
        <x:v>26</x:v>
      </x:c>
      <x:c r="B16" s="25" t="n">
        <x:v>4</x:v>
      </x:c>
      <x:c r="C16" s="24" t="str">
        <x:v>Pipe Fittings, Couplings &amp; Clamps</x:v>
      </x:c>
      <x:c r="D16" s="24" t="str">
        <x:f>'Simplified BOM'!A26</x:f>
        <x:v>Couplings</x:v>
      </x:c>
      <x:c r="E16" s="24" t="str">
        <x:f>'Simplified BOM'!B26</x:f>
        <x:v>3 coupling types</x:v>
      </x:c>
      <x:c r="F16" s="27" t="n">
        <x:f>'Simplified BOM'!C26</x:f>
        <x:v>8</x:v>
      </x:c>
      <x:c r="G16" s="24" t="str">
        <x:f>'Simplified BOM'!D26</x:f>
        <x:v>SS 316</x:v>
      </x:c>
      <x:c r="H16" s="24" t="str">
        <x:v>Stainless Steel 316</x:v>
      </x:c>
      <x:c r="I16" s="24" t="str">
        <x:v>Specified</x:v>
      </x:c>
      <x:c r="J16" s="24" t="str">
        <x:v>Detail</x:v>
      </x:c>
      <x:c r="K16" s="28" t="n">
        <x:f>F16/SUM($F$5:$F$27)</x:f>
        <x:v>0.036036036036036036</x:v>
      </x:c>
    </x:row>
    <x:row r="17" ht="26" customHeight="1">
      <x:c r="A17" s="25" t="n">
        <x:v>27</x:v>
      </x:c>
      <x:c r="B17" s="25" t="n">
        <x:v>4</x:v>
      </x:c>
      <x:c r="C17" s="24" t="str">
        <x:v>Pipe Fittings, Couplings &amp; Clamps</x:v>
      </x:c>
      <x:c r="D17" s="24" t="str">
        <x:f>'Simplified BOM'!A27</x:f>
        <x:v>Pipe Clamps</x:v>
      </x:c>
      <x:c r="E17" s="24" t="str">
        <x:f>'Simplified BOM'!B27</x:f>
        <x:v>4 clamp types</x:v>
      </x:c>
      <x:c r="F17" s="27" t="n">
        <x:f>'Simplified BOM'!C27</x:f>
        <x:v>13</x:v>
      </x:c>
      <x:c r="G17" s="24" t="str">
        <x:f>'Simplified BOM'!D27</x:f>
        <x:v>SS 304</x:v>
      </x:c>
      <x:c r="H17" s="24" t="str">
        <x:v>Stainless Steel 304</x:v>
      </x:c>
      <x:c r="I17" s="24" t="str">
        <x:v>Specified</x:v>
      </x:c>
      <x:c r="J17" s="24" t="str">
        <x:v>Detail</x:v>
      </x:c>
      <x:c r="K17" s="28" t="n">
        <x:f>F17/SUM($F$5:$F$27)</x:f>
        <x:v>0.05855855855855856</x:v>
      </x:c>
    </x:row>
    <x:row r="18" ht="26" customHeight="1">
      <x:c r="A18" s="25" t="n">
        <x:v>31</x:v>
      </x:c>
      <x:c r="B18" s="25" t="n">
        <x:v>5</x:v>
      </x:c>
      <x:c r="C18" s="24" t="str">
        <x:v>Flanges</x:v>
      </x:c>
      <x:c r="D18" s="24" t="str">
        <x:f>'Simplified BOM'!A31</x:f>
        <x:v>Flanges (DN25–DN50 mixed rating)</x:v>
      </x:c>
      <x:c r="E18" s="24" t="str">
        <x:f>'Simplified BOM'!B31</x:f>
        <x:v>BOA-CVP DN50 PN16, DN25 CL150, general flange</x:v>
      </x:c>
      <x:c r="F18" s="27" t="n">
        <x:f>'Simplified BOM'!C31</x:f>
        <x:v>16</x:v>
      </x:c>
      <x:c r="G18" s="24" t="str">
        <x:f>'Simplified BOM'!D31</x:f>
        <x:v>SS 316L</x:v>
      </x:c>
      <x:c r="H18" s="24" t="str">
        <x:v>Stainless Steel 316</x:v>
      </x:c>
      <x:c r="I18" s="24" t="str">
        <x:v>Specified</x:v>
      </x:c>
      <x:c r="J18" s="24" t="str">
        <x:v>Detail</x:v>
      </x:c>
      <x:c r="K18" s="28" t="n">
        <x:f>F18/SUM($F$5:$F$27)</x:f>
        <x:v>0.07207207207207207</x:v>
      </x:c>
    </x:row>
    <x:row r="19" ht="26" customHeight="1">
      <x:c r="A19" s="25" t="n">
        <x:v>35</x:v>
      </x:c>
      <x:c r="B19" s="25" t="n">
        <x:v>6</x:v>
      </x:c>
      <x:c r="C19" s="24" t="str">
        <x:v>Valves &amp; Safety Devices</x:v>
      </x:c>
      <x:c r="D19" s="24" t="str">
        <x:f>'Simplified BOM'!A35</x:f>
        <x:v>Safety Relief Valve</x:v>
      </x:c>
      <x:c r="E19" s="24" t="str">
        <x:f>'Simplified BOM'!B35</x:f>
        <x:v>DN15/25 PN40</x:v>
      </x:c>
      <x:c r="F19" s="27" t="n">
        <x:f>'Simplified BOM'!C35</x:f>
        <x:v>2</x:v>
      </x:c>
      <x:c r="G19" s="24" t="str">
        <x:f>'Simplified BOM'!D35</x:f>
        <x:v>SS 316 (CF8M)</x:v>
      </x:c>
      <x:c r="H19" s="24" t="str">
        <x:v>Stainless Steel 316</x:v>
      </x:c>
      <x:c r="I19" s="24" t="str">
        <x:v>Specified</x:v>
      </x:c>
      <x:c r="J19" s="24" t="str">
        <x:v>Detail</x:v>
      </x:c>
      <x:c r="K19" s="28" t="n">
        <x:f>F19/SUM($F$5:$F$27)</x:f>
        <x:v>0.009009009009009009</x:v>
      </x:c>
    </x:row>
    <x:row r="20" ht="26" customHeight="1">
      <x:c r="A20" s="25" t="n">
        <x:v>36</x:v>
      </x:c>
      <x:c r="B20" s="25" t="n">
        <x:v>6</x:v>
      </x:c>
      <x:c r="C20" s="24" t="str">
        <x:v>Valves &amp; Safety Devices</x:v>
      </x:c>
      <x:c r="D20" s="24" t="str">
        <x:f>'Simplified BOM'!A36</x:f>
        <x:v>Gate Valve Assembly</x:v>
      </x:c>
      <x:c r="E20" s="24" t="str">
        <x:f>'Simplified BOM'!B36</x:f>
        <x:v>Body + bonnet + handle, NDMM40 DIN</x:v>
      </x:c>
      <x:c r="F20" s="27" t="n">
        <x:f>'Simplified BOM'!C36</x:f>
        <x:v>6</x:v>
      </x:c>
      <x:c r="G20" s="24" t="str">
        <x:f>'Simplified BOM'!D36</x:f>
        <x:v>SS 316 (CF8M) / Carbon Steel handle</x:v>
      </x:c>
      <x:c r="H20" s="24" t="str">
        <x:v>Mixed Material</x:v>
      </x:c>
      <x:c r="I20" s="24" t="str">
        <x:v>Specified</x:v>
      </x:c>
      <x:c r="J20" s="24" t="str">
        <x:v>Detail</x:v>
      </x:c>
      <x:c r="K20" s="28" t="n">
        <x:f>F20/SUM($F$5:$F$27)</x:f>
        <x:v>0.02702702702702703</x:v>
      </x:c>
    </x:row>
    <x:row r="21" ht="26" customHeight="1">
      <x:c r="A21" s="25" t="n">
        <x:v>40</x:v>
      </x:c>
      <x:c r="B21" s="25" t="n">
        <x:v>7</x:v>
      </x:c>
      <x:c r="C21" s="24" t="str">
        <x:v>Instrumentation, Control &amp; Electrical</x:v>
      </x:c>
      <x:c r="D21" s="24" t="str">
        <x:f>'Simplified BOM'!A40</x:f>
        <x:v>Junction Boxes</x:v>
      </x:c>
      <x:c r="E21" s="24" t="str">
        <x:f>'Simplified BOM'!B40</x:f>
        <x:v>JB box-1, JB box-2</x:v>
      </x:c>
      <x:c r="F21" s="27" t="n">
        <x:f>'Simplified BOM'!C40</x:f>
        <x:v>2</x:v>
      </x:c>
      <x:c r="G21" s="24" t="str">
        <x:f>'Simplified BOM'!D40</x:f>
        <x:v>SS 304 / GRP</x:v>
      </x:c>
      <x:c r="H21" s="24" t="str">
        <x:v>Mixed Material</x:v>
      </x:c>
      <x:c r="I21" s="24" t="str">
        <x:v>Specified</x:v>
      </x:c>
      <x:c r="J21" s="24" t="str">
        <x:v>Detail</x:v>
      </x:c>
      <x:c r="K21" s="28" t="n">
        <x:f>F21/SUM($F$5:$F$27)</x:f>
        <x:v>0.009009009009009009</x:v>
      </x:c>
    </x:row>
    <x:row r="22" ht="26" customHeight="1">
      <x:c r="A22" s="25" t="n">
        <x:v>41</x:v>
      </x:c>
      <x:c r="B22" s="25" t="n">
        <x:v>7</x:v>
      </x:c>
      <x:c r="C22" s="24" t="str">
        <x:v>Instrumentation, Control &amp; Electrical</x:v>
      </x:c>
      <x:c r="D22" s="24" t="str">
        <x:f>'Simplified BOM'!A41</x:f>
        <x:v>Control Panel</x:v>
      </x:c>
      <x:c r="E22" s="24" t="str">
        <x:f>'Simplified BOM'!B41</x:f>
        <x:v>Control panel</x:v>
      </x:c>
      <x:c r="F22" s="27" t="n">
        <x:f>'Simplified BOM'!C41</x:f>
        <x:v>1</x:v>
      </x:c>
      <x:c r="G22" s="24" t="str">
        <x:f>'Simplified BOM'!D41</x:f>
        <x:v>Carbon Steel (painted) / SS304</x:v>
      </x:c>
      <x:c r="H22" s="24" t="str">
        <x:v>Mixed Material</x:v>
      </x:c>
      <x:c r="I22" s="24" t="str">
        <x:v>Specified</x:v>
      </x:c>
      <x:c r="J22" s="24" t="str">
        <x:v>Detail</x:v>
      </x:c>
      <x:c r="K22" s="28" t="n">
        <x:f>F22/SUM($F$5:$F$27)</x:f>
        <x:v>0.0045045045045045045</x:v>
      </x:c>
    </x:row>
    <x:row r="23" ht="26" customHeight="1">
      <x:c r="A23" s="25" t="n">
        <x:v>42</x:v>
      </x:c>
      <x:c r="B23" s="25" t="n">
        <x:v>7</x:v>
      </x:c>
      <x:c r="C23" s="24" t="str">
        <x:v>Instrumentation, Control &amp; Electrical</x:v>
      </x:c>
      <x:c r="D23" s="24" t="str">
        <x:f>'Simplified BOM'!A42</x:f>
        <x:v>Electronic Items</x:v>
      </x:c>
      <x:c r="E23" s="24" t="str">
        <x:f>'Simplified BOM'!B42</x:f>
        <x:v>HMI, TV, Keyboard, Exhaust Fan</x:v>
      </x:c>
      <x:c r="F23" s="27" t="n">
        <x:f>'Simplified BOM'!C42</x:f>
        <x:v>6</x:v>
      </x:c>
      <x:c r="G23" s="24" t="str">
        <x:f>'Simplified BOM'!D42</x:f>
        <x:v>Purchased Item</x:v>
      </x:c>
      <x:c r="H23" s="24" t="str">
        <x:v>Purchased / Electronic</x:v>
      </x:c>
      <x:c r="I23" s="24" t="str">
        <x:v>Specified</x:v>
      </x:c>
      <x:c r="J23" s="24" t="str">
        <x:v>Detail</x:v>
      </x:c>
      <x:c r="K23" s="28" t="n">
        <x:f>F23/SUM($F$5:$F$27)</x:f>
        <x:v>0.02702702702702703</x:v>
      </x:c>
    </x:row>
    <x:row r="24" ht="26" customHeight="1">
      <x:c r="A24" s="25" t="n">
        <x:v>43</x:v>
      </x:c>
      <x:c r="B24" s="25" t="n">
        <x:v>7</x:v>
      </x:c>
      <x:c r="C24" s="24" t="str">
        <x:v>Instrumentation, Control &amp; Electrical</x:v>
      </x:c>
      <x:c r="D24" s="24" t="str">
        <x:f>'Simplified BOM'!A43</x:f>
        <x:v>Unidentified Instruments</x:v>
      </x:c>
      <x:c r="E24" s="24" t="str">
        <x:f>'Simplified BOM'!B43</x:f>
        <x:v>S-810_2, KN-R02-600 (vendor codes)</x:v>
      </x:c>
      <x:c r="F24" s="27" t="n">
        <x:f>'Simplified BOM'!C43</x:f>
        <x:v>17</x:v>
      </x:c>
      <x:c r="G24" s="24" t="str">
        <x:f>'Simplified BOM'!D43</x:f>
        <x:v>Purchased Item — Not Available</x:v>
      </x:c>
      <x:c r="H24" s="24" t="str">
        <x:v>Purchased / Electronic</x:v>
      </x:c>
      <x:c r="I24" s="24" t="str">
        <x:v>Needs Review</x:v>
      </x:c>
      <x:c r="J24" s="24" t="str">
        <x:v>Detail</x:v>
      </x:c>
      <x:c r="K24" s="28" t="n">
        <x:f>F24/SUM($F$5:$F$27)</x:f>
        <x:v>0.07657657657657657</x:v>
      </x:c>
    </x:row>
    <x:row r="25" ht="26" customHeight="1">
      <x:c r="A25" s="25" t="n">
        <x:v>47</x:v>
      </x:c>
      <x:c r="B25" s="25" t="n">
        <x:v>8</x:v>
      </x:c>
      <x:c r="C25" s="24" t="str">
        <x:v>Miscellaneous / Unidentified</x:v>
      </x:c>
      <x:c r="D25" s="24" t="str">
        <x:f>'Simplified BOM'!A47</x:f>
        <x:v>Vent</x:v>
      </x:c>
      <x:c r="E25" s="24" t="str">
        <x:f>'Simplified BOM'!B47</x:f>
        <x:v>Vent nozzle/stack</x:v>
      </x:c>
      <x:c r="F25" s="27" t="n">
        <x:f>'Simplified BOM'!C47</x:f>
        <x:v>1</x:v>
      </x:c>
      <x:c r="G25" s="24" t="str">
        <x:f>'Simplified BOM'!D47</x:f>
        <x:v>SS 316L</x:v>
      </x:c>
      <x:c r="H25" s="24" t="str">
        <x:v>Stainless Steel 316</x:v>
      </x:c>
      <x:c r="I25" s="24" t="str">
        <x:v>Specified</x:v>
      </x:c>
      <x:c r="J25" s="24" t="str">
        <x:v>Detail</x:v>
      </x:c>
      <x:c r="K25" s="28" t="n">
        <x:f>F25/SUM($F$5:$F$27)</x:f>
        <x:v>0.0045045045045045045</x:v>
      </x:c>
    </x:row>
    <x:row r="26" ht="26" customHeight="1">
      <x:c r="A26" s="25" t="n">
        <x:v>48</x:v>
      </x:c>
      <x:c r="B26" s="25" t="n">
        <x:v>8</x:v>
      </x:c>
      <x:c r="C26" s="24" t="str">
        <x:v>Miscellaneous / Unidentified</x:v>
      </x:c>
      <x:c r="D26" s="24" t="str">
        <x:f>'Simplified BOM'!A48</x:f>
        <x:v>Unidentified Part</x:v>
      </x:c>
      <x:c r="E26" s="24" t="str">
        <x:f>'Simplified BOM'!B48</x:f>
        <x:v>Part2 (generic CAD name)</x:v>
      </x:c>
      <x:c r="F26" s="27" t="n">
        <x:f>'Simplified BOM'!C48</x:f>
        <x:v>1</x:v>
      </x:c>
      <x:c r="G26" s="24" t="str">
        <x:f>'Simplified BOM'!D48</x:f>
        <x:v>Not Available</x:v>
      </x:c>
      <x:c r="H26" s="24" t="str">
        <x:v>Not Available</x:v>
      </x:c>
      <x:c r="I26" s="24" t="str">
        <x:v>Needs Review</x:v>
      </x:c>
      <x:c r="J26" s="24" t="str">
        <x:v>Detail</x:v>
      </x:c>
      <x:c r="K26" s="28" t="n">
        <x:f>F26/SUM($F$5:$F$27)</x:f>
        <x:v>0.0045045045045045045</x:v>
      </x:c>
    </x:row>
    <x:row r="27" ht="26" customHeight="1">
      <x:c r="A27" s="25" t="n">
        <x:v>52</x:v>
      </x:c>
      <x:c r="B27" s="25" t="n">
        <x:v>9</x:v>
      </x:c>
      <x:c r="C27" s="24" t="str">
        <x:v>Fasteners &amp; Standard Hardware</x:v>
      </x:c>
      <x:c r="D27" s="24" t="str">
        <x:f>'Simplified BOM'!A52</x:f>
        <x:v>Fasteners (all types)</x:v>
      </x:c>
      <x:c r="E27" s="24" t="str">
        <x:f>'Simplified BOM'!B52</x:f>
        <x:v>Bolts, hex nuts, cap nuts — 6 standard hardware line items</x:v>
      </x:c>
      <x:c r="F27" s="27" t="n">
        <x:f>'Simplified BOM'!C52</x:f>
        <x:v>85</x:v>
      </x:c>
      <x:c r="G27" s="24" t="str">
        <x:f>'Simplified BOM'!D52</x:f>
        <x:v>SS A2/A4 (typical)</x:v>
      </x:c>
      <x:c r="H27" s="24" t="str">
        <x:v>Stainless Steel A2/A4</x:v>
      </x:c>
      <x:c r="I27" s="24" t="str">
        <x:v>Specified</x:v>
      </x:c>
      <x:c r="J27" s="24" t="str">
        <x:v>Summary</x:v>
      </x:c>
      <x:c r="K27" s="28" t="n">
        <x:f>F27/SUM($F$5:$F$27)</x:f>
        <x:v>0.38288288288288286</x:v>
      </x:c>
    </x:row>
  </x:sheetData>
  <x:mergeCells>
    <x:mergeCell ref="A1:K1"/>
    <x:mergeCell ref="A2:K2"/>
  </x:mergeCells>
  <x:conditionalFormatting sqref="I5:I27">
    <x:cfRule type="cellIs" dxfId="0" priority="1" operator="equal">
      <x:formula>"Needs Review"</x:formula>
    </x:cfRule>
    <x:cfRule type="cellIs" dxfId="1" priority="2" operator="equal">
      <x:formula>"Specified"</x:formula>
    </x:cfRule>
  </x:conditionalFormatting>
  <x:conditionalFormatting sqref="F5:F27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{BC36D241-01DD-E3F3-2918-9FCFF4B2F5C9}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a3443ccabf4b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BC36D241-01DD-E3F3-2918-9FCFF4B2F5C9}">
            <x14:dataBar gradient="1">
              <x14:cfvo type="min"/>
              <x14:cfvo type="max"/>
              <x14:fillColor rgb="FF5B9BD5"/>
            </x14:dataBar>
          </x14:cfRule>
          <xm:sqref>F5:F27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12" hidden="0" customWidth="1"/>
    <x:col min="4" max="4" width="15" hidden="0" customWidth="1"/>
    <x:col min="5" max="5" width="12" hidden="0" customWidth="1"/>
    <x:col min="6" max="6" width="3" hidden="0" customWidth="1"/>
    <x:col min="7" max="7" width="3" hidden="0" customWidth="1"/>
    <x:col min="8" max="8" width="31" hidden="0" customWidth="1"/>
    <x:col min="9" max="9" width="12" hidden="0" customWidth="1"/>
    <x:col min="10" max="10" width="15" hidden="0" customWidth="1"/>
    <x:col min="11" max="11" width="12" hidden="0" customWidth="1"/>
    <x:col min="12" max="12" width="3" hidden="0" customWidth="1"/>
    <x:col min="13" max="13" width="18" hidden="0" customWidth="1"/>
    <x:col min="14" max="14" width="12" hidden="0" customWidth="1"/>
    <x:col min="15" max="15" width="15" hidden="0" customWidth="1"/>
  </x:cols>
  <x:sheetData>
    <x:row r="1" ht="30" customHeight="1">
      <x:c r="A1" s="10" t="str">
        <x:v>LNG BUNKERING STATION — BOM ANALYSIS</x:v>
      </x:c>
    </x:row>
    <x:row r="2" ht="30" customHeight="1">
      <x:c r="A2" s="14" t="str">
        <x:v>Quantities are sourced from the original BOM through the linked BOM Data sheet. This analysis does not estimate costs, weights, lead times, suppliers, or availability.</x:v>
      </x:c>
    </x:row>
    <x:row r="4" ht="22" customHeight="1">
      <x:c r="A4" s="32" t="str">
        <x:v>BOM OVERVIEW</x:v>
      </x:c>
    </x:row>
    <x:row r="5" ht="32" customHeight="1">
      <x:c r="A5" s="37" t="str">
        <x:v>Total BOM Quantity</x:v>
      </x:c>
      <x:c r="B5" s="41" t="n">
        <x:f>SUM('BOM Data'!$F$5:$F$27)</x:f>
        <x:v>222</x:v>
      </x:c>
    </x:row>
    <x:row r="6" ht="32" customHeight="1">
      <x:c r="A6" s="37" t="str">
        <x:v>BOM Line Items</x:v>
      </x:c>
      <x:c r="B6" s="41" t="n">
        <x:f>COUNTA('BOM Data'!$D$5:$D$27)</x:f>
        <x:v>23</x:v>
      </x:c>
    </x:row>
    <x:row r="7" ht="32" customHeight="1">
      <x:c r="A7" s="37" t="str">
        <x:v>Detailed Quantity</x:v>
      </x:c>
      <x:c r="B7" s="41" t="n">
        <x:f>SUMIFS('BOM Data'!$F$5:$F$27,'BOM Data'!$J$5:$J$27,"Detail")</x:f>
        <x:v>137</x:v>
      </x:c>
    </x:row>
    <x:row r="8" ht="32" customHeight="1">
      <x:c r="A8" s="37" t="str">
        <x:v>Hardware Summary Quantity</x:v>
      </x:c>
      <x:c r="B8" s="41" t="n">
        <x:f>SUMIFS('BOM Data'!$F$5:$F$27,'BOM Data'!$J$5:$J$27,"Summary")</x:f>
        <x:v>85</x:v>
      </x:c>
    </x:row>
    <x:row r="9" ht="32" customHeight="1">
      <x:c r="A9" s="37" t="str">
        <x:v>Quantity Needing Review</x:v>
      </x:c>
      <x:c r="B9" s="41" t="n">
        <x:f>SUMIFS('BOM Data'!$F$5:$F$27,'BOM Data'!$I$5:$I$27,"Needs Review")</x:f>
        <x:v>22</x:v>
      </x:c>
    </x:row>
    <x:row r="10" ht="32" customHeight="1">
      <x:c r="A10" s="37" t="str">
        <x:v>Review Share of Total</x:v>
      </x:c>
      <x:c r="B10" s="42" t="n">
        <x:f>B9/B5</x:f>
        <x:v>0.0990990990990991</x:v>
      </x:c>
    </x:row>
    <x:row r="11" ht="32" customHeight="1">
      <x:c r="A11" s="37" t="str">
        <x:v>Largest System by Quantity</x:v>
      </x:c>
      <x:c r="B11" s="40" t="str">
        <x:f>INDEX($B$15:$B$23,MATCH(MAX($C$15:$C$23),$C$15:$C$23,0))</x:f>
        <x:v>Piping Components</x:v>
      </x:c>
    </x:row>
    <x:row r="12" ht="32" customHeight="1">
      <x:c r="A12" s="37" t="str">
        <x:v>Largest Material Class by Quantity</x:v>
      </x:c>
      <x:c r="B12" s="40" t="str">
        <x:f>INDEX($H$15:$H$22,MATCH(MAX($I$15:$I$22),$I$15:$I$22,0))</x:f>
        <x:v>Stainless Steel 316</x:v>
      </x:c>
    </x:row>
    <x:row r="14" ht="22" customHeight="1">
      <x:c r="A14" s="32" t="str">
        <x:v>QUANTITY BY MAJOR SYSTEM</x:v>
      </x:c>
      <x:c r="H14" s="32" t="str">
        <x:v>QUANTITY BY MATERIAL CLASS</x:v>
      </x:c>
      <x:c r="M14" s="32" t="str">
        <x:v>SPECIFICATION STATUS</x:v>
      </x:c>
    </x:row>
    <x:row r="15" ht="28" customHeight="1">
      <x:c r="A15" s="20" t="str">
        <x:v>System #</x:v>
      </x:c>
      <x:c r="B15" s="20" t="str">
        <x:v>Major System</x:v>
      </x:c>
      <x:c r="C15" s="20" t="str">
        <x:v>Qty</x:v>
      </x:c>
      <x:c r="D15" s="20" t="str">
        <x:v>Share of Total</x:v>
      </x:c>
      <x:c r="E15" s="20" t="str">
        <x:v>Line Items</x:v>
      </x:c>
      <x:c r="H15" s="20" t="str">
        <x:v>Material Class</x:v>
      </x:c>
      <x:c r="I15" s="20" t="str">
        <x:v>Qty</x:v>
      </x:c>
      <x:c r="J15" s="20" t="str">
        <x:v>Share of Total</x:v>
      </x:c>
      <x:c r="K15" s="20" t="str">
        <x:v>Line Items</x:v>
      </x:c>
      <x:c r="M15" s="20" t="str">
        <x:v>Status</x:v>
      </x:c>
      <x:c r="N15" s="20" t="str">
        <x:v>Qty</x:v>
      </x:c>
      <x:c r="O15" s="20" t="str">
        <x:v>Share of Total</x:v>
      </x:c>
    </x:row>
    <x:row r="16">
      <x:c r="A16" s="22" t="n">
        <x:v>1</x:v>
      </x:c>
      <x:c r="B16" s="22" t="str">
        <x:v>Vessel / Tank Components</x:v>
      </x:c>
      <x:c r="C16" s="43" t="n">
        <x:f>SUMIFS('BOM Data'!$F$5:$F$27,'BOM Data'!$B$5:$B$27,A16)</x:f>
        <x:v>4</x:v>
      </x:c>
      <x:c r="D16" s="44" t="n">
        <x:f>C16/$B$5</x:f>
        <x:v>0.018018018018018018</x:v>
      </x:c>
      <x:c r="E16" s="22" t="n">
        <x:f>COUNTIF('BOM Data'!$B$5:$B$27,A16)</x:f>
        <x:v>2</x:v>
      </x:c>
      <x:c r="H16" s="22" t="str">
        <x:v>Stainless Steel 316</x:v>
      </x:c>
      <x:c r="I16" s="43" t="n">
        <x:f>SUMIFS('BOM Data'!$F$5:$F$27,'BOM Data'!$H$5:$H$27,H16)</x:f>
        <x:v>79</x:v>
      </x:c>
      <x:c r="J16" s="44" t="n">
        <x:f>I16/$B$5</x:f>
        <x:v>0.35585585585585583</x:v>
      </x:c>
      <x:c r="K16" s="22" t="n">
        <x:f>COUNTIF('BOM Data'!$H$5:$H$27,H16)</x:f>
        <x:v>10</x:v>
      </x:c>
      <x:c r="M16" s="22" t="str">
        <x:v>Specified</x:v>
      </x:c>
      <x:c r="N16" s="43" t="n">
        <x:f>SUMIFS('BOM Data'!$F$5:$F$27,'BOM Data'!$I$5:$I$27,M16)</x:f>
        <x:v>200</x:v>
      </x:c>
      <x:c r="O16" s="44" t="n">
        <x:f>N16/$B$5</x:f>
        <x:v>0.9009009009009009</x:v>
      </x:c>
    </x:row>
    <x:row r="17">
      <x:c r="A17" s="22" t="n">
        <x:v>2</x:v>
      </x:c>
      <x:c r="B17" s="22" t="str">
        <x:v>Structural Supports &amp; Frame</x:v>
      </x:c>
      <x:c r="C17" s="43" t="n">
        <x:f>SUMIFS('BOM Data'!$F$5:$F$27,'BOM Data'!$B$5:$B$27,A17)</x:f>
        <x:v>6</x:v>
      </x:c>
      <x:c r="D17" s="44" t="n">
        <x:f>C17/$B$5</x:f>
        <x:v>0.02702702702702703</x:v>
      </x:c>
      <x:c r="E17" s="22" t="n">
        <x:f>COUNTIF('BOM Data'!$B$5:$B$27,A17)</x:f>
        <x:v>3</x:v>
      </x:c>
      <x:c r="H17" s="22" t="str">
        <x:v>Stainless Steel 316 (Vendor Std)</x:v>
      </x:c>
      <x:c r="I17" s="43" t="n">
        <x:f>SUMIFS('BOM Data'!$F$5:$F$27,'BOM Data'!$H$5:$H$27,H17)</x:f>
        <x:v>4</x:v>
      </x:c>
      <x:c r="J17" s="44" t="n">
        <x:f>I17/$B$5</x:f>
        <x:v>0.018018018018018018</x:v>
      </x:c>
      <x:c r="K17" s="22" t="n">
        <x:f>COUNTIF('BOM Data'!$H$5:$H$27,H17)</x:f>
        <x:v>1</x:v>
      </x:c>
      <x:c r="M17" s="48" t="str">
        <x:v>Needs Review</x:v>
      </x:c>
      <x:c r="N17" s="49" t="n">
        <x:f>SUMIFS('BOM Data'!$F$5:$F$27,'BOM Data'!$I$5:$I$27,M17)</x:f>
        <x:v>22</x:v>
      </x:c>
      <x:c r="O17" s="50" t="n">
        <x:f>N17/$B$5</x:f>
        <x:v>0.0990990990990991</x:v>
      </x:c>
    </x:row>
    <x:row r="18">
      <x:c r="A18" s="22" t="n">
        <x:v>3</x:v>
      </x:c>
      <x:c r="B18" s="22" t="str">
        <x:v>Piping Components</x:v>
      </x:c>
      <x:c r="C18" s="43" t="n">
        <x:f>SUMIFS('BOM Data'!$F$5:$F$27,'BOM Data'!$B$5:$B$27,A18)</x:f>
        <x:v>54</x:v>
      </x:c>
      <x:c r="D18" s="44" t="n">
        <x:f>C18/$B$5</x:f>
        <x:v>0.24324324324324326</x:v>
      </x:c>
      <x:c r="E18" s="22" t="n">
        <x:f>COUNTIF('BOM Data'!$B$5:$B$27,A18)</x:f>
        <x:v>6</x:v>
      </x:c>
      <x:c r="H18" s="22" t="str">
        <x:v>Stainless Steel 304</x:v>
      </x:c>
      <x:c r="I18" s="43" t="n">
        <x:f>SUMIFS('BOM Data'!$F$5:$F$27,'BOM Data'!$H$5:$H$27,H18)</x:f>
        <x:v>17</x:v>
      </x:c>
      <x:c r="J18" s="44" t="n">
        <x:f>I18/$B$5</x:f>
        <x:v>0.07657657657657657</x:v>
      </x:c>
      <x:c r="K18" s="22" t="n">
        <x:f>COUNTIF('BOM Data'!$H$5:$H$27,H18)</x:f>
        <x:v>3</x:v>
      </x:c>
    </x:row>
    <x:row r="19">
      <x:c r="A19" s="22" t="n">
        <x:v>4</x:v>
      </x:c>
      <x:c r="B19" s="22" t="str">
        <x:v>Pipe Fittings, Couplings &amp; Clamps</x:v>
      </x:c>
      <x:c r="C19" s="43" t="n">
        <x:f>SUMIFS('BOM Data'!$F$5:$F$27,'BOM Data'!$B$5:$B$27,A19)</x:f>
        <x:v>21</x:v>
      </x:c>
      <x:c r="D19" s="44" t="n">
        <x:f>C19/$B$5</x:f>
        <x:v>0.0945945945945946</x:v>
      </x:c>
      <x:c r="E19" s="22" t="n">
        <x:f>COUNTIF('BOM Data'!$B$5:$B$27,A19)</x:f>
        <x:v>2</x:v>
      </x:c>
      <x:c r="H19" s="22" t="str">
        <x:v>Carbon Steel</x:v>
      </x:c>
      <x:c r="I19" s="43" t="n">
        <x:f>SUMIFS('BOM Data'!$F$5:$F$27,'BOM Data'!$H$5:$H$27,H19)</x:f>
        <x:v>2</x:v>
      </x:c>
      <x:c r="J19" s="44" t="n">
        <x:f>I19/$B$5</x:f>
        <x:v>0.009009009009009009</x:v>
      </x:c>
      <x:c r="K19" s="22" t="n">
        <x:f>COUNTIF('BOM Data'!$H$5:$H$27,H19)</x:f>
        <x:v>1</x:v>
      </x:c>
    </x:row>
    <x:row r="20">
      <x:c r="A20" s="22" t="n">
        <x:v>5</x:v>
      </x:c>
      <x:c r="B20" s="22" t="str">
        <x:v>Flanges</x:v>
      </x:c>
      <x:c r="C20" s="43" t="n">
        <x:f>SUMIFS('BOM Data'!$F$5:$F$27,'BOM Data'!$B$5:$B$27,A20)</x:f>
        <x:v>16</x:v>
      </x:c>
      <x:c r="D20" s="44" t="n">
        <x:f>C20/$B$5</x:f>
        <x:v>0.07207207207207207</x:v>
      </x:c>
      <x:c r="E20" s="22" t="n">
        <x:f>COUNTIF('BOM Data'!$B$5:$B$27,A20)</x:f>
        <x:v>1</x:v>
      </x:c>
      <x:c r="H20" s="22" t="str">
        <x:v>Mixed Material</x:v>
      </x:c>
      <x:c r="I20" s="43" t="n">
        <x:f>SUMIFS('BOM Data'!$F$5:$F$27,'BOM Data'!$H$5:$H$27,H20)</x:f>
        <x:v>11</x:v>
      </x:c>
      <x:c r="J20" s="44" t="n">
        <x:f>I20/$B$5</x:f>
        <x:v>0.04954954954954955</x:v>
      </x:c>
      <x:c r="K20" s="22" t="n">
        <x:f>COUNTIF('BOM Data'!$H$5:$H$27,H20)</x:f>
        <x:v>4</x:v>
      </x:c>
    </x:row>
    <x:row r="21">
      <x:c r="A21" s="22" t="n">
        <x:v>6</x:v>
      </x:c>
      <x:c r="B21" s="22" t="str">
        <x:v>Valves &amp; Safety Devices</x:v>
      </x:c>
      <x:c r="C21" s="43" t="n">
        <x:f>SUMIFS('BOM Data'!$F$5:$F$27,'BOM Data'!$B$5:$B$27,A21)</x:f>
        <x:v>8</x:v>
      </x:c>
      <x:c r="D21" s="44" t="n">
        <x:f>C21/$B$5</x:f>
        <x:v>0.036036036036036036</x:v>
      </x:c>
      <x:c r="E21" s="22" t="n">
        <x:f>COUNTIF('BOM Data'!$B$5:$B$27,A21)</x:f>
        <x:v>2</x:v>
      </x:c>
      <x:c r="H21" s="22" t="str">
        <x:v>Purchased / Electronic</x:v>
      </x:c>
      <x:c r="I21" s="43" t="n">
        <x:f>SUMIFS('BOM Data'!$F$5:$F$27,'BOM Data'!$H$5:$H$27,H21)</x:f>
        <x:v>23</x:v>
      </x:c>
      <x:c r="J21" s="44" t="n">
        <x:f>I21/$B$5</x:f>
        <x:v>0.1036036036036036</x:v>
      </x:c>
      <x:c r="K21" s="22" t="n">
        <x:f>COUNTIF('BOM Data'!$H$5:$H$27,H21)</x:f>
        <x:v>2</x:v>
      </x:c>
    </x:row>
    <x:row r="22">
      <x:c r="A22" s="22" t="n">
        <x:v>7</x:v>
      </x:c>
      <x:c r="B22" s="22" t="str">
        <x:v>Instrumentation, Control &amp; Electrical</x:v>
      </x:c>
      <x:c r="C22" s="43" t="n">
        <x:f>SUMIFS('BOM Data'!$F$5:$F$27,'BOM Data'!$B$5:$B$27,A22)</x:f>
        <x:v>26</x:v>
      </x:c>
      <x:c r="D22" s="44" t="n">
        <x:f>C22/$B$5</x:f>
        <x:v>0.11711711711711711</x:v>
      </x:c>
      <x:c r="E22" s="22" t="n">
        <x:f>COUNTIF('BOM Data'!$B$5:$B$27,A22)</x:f>
        <x:v>4</x:v>
      </x:c>
      <x:c r="H22" s="22" t="str">
        <x:v>Not Available</x:v>
      </x:c>
      <x:c r="I22" s="43" t="n">
        <x:f>SUMIFS('BOM Data'!$F$5:$F$27,'BOM Data'!$H$5:$H$27,H22)</x:f>
        <x:v>1</x:v>
      </x:c>
      <x:c r="J22" s="44" t="n">
        <x:f>I22/$B$5</x:f>
        <x:v>0.0045045045045045045</x:v>
      </x:c>
      <x:c r="K22" s="22" t="n">
        <x:f>COUNTIF('BOM Data'!$H$5:$H$27,H22)</x:f>
        <x:v>1</x:v>
      </x:c>
    </x:row>
    <x:row r="23">
      <x:c r="A23" s="22" t="n">
        <x:v>8</x:v>
      </x:c>
      <x:c r="B23" s="22" t="str">
        <x:v>Miscellaneous / Unidentified</x:v>
      </x:c>
      <x:c r="C23" s="43" t="n">
        <x:f>SUMIFS('BOM Data'!$F$5:$F$27,'BOM Data'!$B$5:$B$27,A23)</x:f>
        <x:v>2</x:v>
      </x:c>
      <x:c r="D23" s="44" t="n">
        <x:f>C23/$B$5</x:f>
        <x:v>0.009009009009009009</x:v>
      </x:c>
      <x:c r="E23" s="22" t="n">
        <x:f>COUNTIF('BOM Data'!$B$5:$B$27,A23)</x:f>
        <x:v>2</x:v>
      </x:c>
      <x:c r="H23" s="22" t="str">
        <x:v>Stainless Steel A2/A4</x:v>
      </x:c>
      <x:c r="I23" s="43" t="n">
        <x:f>SUMIFS('BOM Data'!$F$5:$F$27,'BOM Data'!$H$5:$H$27,H23)</x:f>
        <x:v>85</x:v>
      </x:c>
      <x:c r="J23" s="44" t="n">
        <x:f>I23/$B$5</x:f>
        <x:v>0.38288288288288286</x:v>
      </x:c>
      <x:c r="K23" s="22" t="n">
        <x:f>COUNTIF('BOM Data'!$H$5:$H$27,H23)</x:f>
        <x:v>1</x:v>
      </x:c>
    </x:row>
    <x:row r="24">
      <x:c r="A24" s="22" t="n">
        <x:v>9</x:v>
      </x:c>
      <x:c r="B24" s="22" t="str">
        <x:v>Fasteners &amp; Standard Hardware</x:v>
      </x:c>
      <x:c r="C24" s="43" t="n">
        <x:f>SUMIFS('BOM Data'!$F$5:$F$27,'BOM Data'!$B$5:$B$27,A24)</x:f>
        <x:v>85</x:v>
      </x:c>
      <x:c r="D24" s="44" t="n">
        <x:f>C24/$B$5</x:f>
        <x:v>0.38288288288288286</x:v>
      </x:c>
      <x:c r="E24" s="22" t="n">
        <x:f>COUNTIF('BOM Data'!$B$5:$B$27,A24)</x:f>
        <x:v>1</x:v>
      </x:c>
    </x:row>
    <x:row r="27" ht="22" customHeight="1">
      <x:c r="A27" s="32" t="str">
        <x:v>DATA NOTES &amp; PROCUREMENT LIMITATIONS</x:v>
      </x:c>
    </x:row>
    <x:row r="28" ht="26" customHeight="1">
      <x:c r="A28" s="69" t="str">
        <x:v>• No unit cost, weight, supplier, lead-time, or availability fields exist in the source BOM; this workbook intentionally does not estimate them.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0"/>
      <x:c r="L28" s="70"/>
      <x:c r="M28" s="70"/>
      <x:c r="N28" s="70"/>
      <x:c r="O28" s="71"/>
    </x:row>
    <x:row r="29" ht="26" customHeight="1">
      <x:c r="A29" s="72" t="str">
        <x:v>• Needs Review identifies vendor-standard or unavailable material assignments. It is a planning flag, not a technical approval or procurement release.</x:v>
      </x:c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4"/>
    </x:row>
    <x:row r="30" ht="26" customHeight="1">
      <x:c r="A30" s="75" t="str">
        <x:v>• Material Class is an analytical grouping. Mixed-material assemblies remain represented as a single item line to avoid assigning unsupported material splits.</x:v>
      </x:c>
      <x:c r="B30" s="76"/>
      <x:c r="C30" s="76"/>
      <x:c r="D30" s="76"/>
      <x:c r="E30" s="76"/>
      <x:c r="F30" s="76"/>
      <x:c r="G30" s="76"/>
      <x:c r="H30" s="76"/>
      <x:c r="I30" s="76"/>
      <x:c r="J30" s="76"/>
      <x:c r="K30" s="76"/>
      <x:c r="L30" s="76"/>
      <x:c r="M30" s="76"/>
      <x:c r="N30" s="76"/>
      <x:c r="O30" s="77"/>
    </x:row>
  </x:sheetData>
  <x:mergeCells>
    <x:mergeCell ref="A1:O1"/>
    <x:mergeCell ref="A2:O2"/>
    <x:mergeCell ref="A4:E4"/>
    <x:mergeCell ref="A14:E14"/>
    <x:mergeCell ref="H14:K14"/>
    <x:mergeCell ref="M14:O14"/>
    <x:mergeCell ref="A27:O27"/>
    <x:mergeCell ref="A28:O28"/>
    <x:mergeCell ref="A29:O29"/>
    <x:mergeCell ref="A30:O30"/>
  </x:mergeCells>
  <x:conditionalFormatting sqref="C16:C24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{5BAF68C2-3DDB-CEE9-D912-D74D77F33377}</x14:id>
        </x:ext>
      </x:extLst>
    </x:cfRule>
  </x:conditionalFormatting>
  <x:conditionalFormatting sqref="I16:I23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{F1C06692-B112-8FBF-B633-94A6E2462F88}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BAF68C2-3DDB-CEE9-D912-D74D77F33377}">
            <x14:dataBar gradient="1">
              <x14:cfvo type="min"/>
              <x14:cfvo type="max"/>
              <x14:fillColor rgb="FF5B9BD5"/>
            </x14:dataBar>
          </x14:cfRule>
          <xm:sqref>C16:C24</xm:sqref>
        </x14:conditionalFormatting>
        <x14:conditionalFormatting>
          <x14:cfRule type="dataBar" priority="2" id="{F1C06692-B112-8FBF-B633-94A6E2462F88}">
            <x14:dataBar gradient="1">
              <x14:cfvo type="min"/>
              <x14:cfvo type="max"/>
              <x14:fillColor rgb="FF70AD47"/>
            </x14:dataBar>
          </x14:cfRule>
          <xm:sqref>I16:I23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30" customHeight="1">
      <x:c r="A1" s="10" t="str">
        <x:v>LNG BUNKERING STATION — BOM DASHBOARD</x:v>
      </x:c>
    </x:row>
    <x:row r="2" ht="24" customHeight="1">
      <x:c r="A2" s="78" t="str">
        <x:v>Quantity, material classification, and specification-review view | Source-linked to the original simplified BOM</x:v>
      </x:c>
    </x:row>
    <x:row r="4" ht="24" customHeight="1">
      <x:c r="A4" s="81" t="str">
        <x:v>TOTAL BOM QTY</x:v>
      </x:c>
      <x:c r="G4" s="81" t="str">
        <x:v>BOM LINE ITEMS</x:v>
      </x:c>
      <x:c r="M4" s="81" t="str">
        <x:v>DETAILED QTY</x:v>
      </x:c>
      <x:c r="S4" s="81" t="str">
        <x:v>QTY NEEDING REVIEW</x:v>
      </x:c>
    </x:row>
    <x:row r="5" ht="26" customHeight="1">
      <x:c r="A5" s="87" t="n">
        <x:f>'Analysis'!$B$5</x:f>
        <x:v>222</x:v>
      </x:c>
      <x:c r="G5" s="93" t="n">
        <x:f>'Analysis'!$B$6</x:f>
        <x:v>23</x:v>
      </x:c>
      <x:c r="M5" s="99" t="n">
        <x:f>'Analysis'!$B$7</x:f>
        <x:v>137</x:v>
      </x:c>
      <x:c r="S5" s="105" t="n">
        <x:f>'Analysis'!$B$9</x:f>
        <x:v>22</x:v>
      </x:c>
    </x:row>
    <x:row r="6" ht="26" customHeight="1"/>
    <x:row r="7" ht="26" customHeight="1"/>
    <x:row r="9" ht="22" customHeight="1">
      <x:c r="A9" s="32" t="str">
        <x:v>PLANNING SIGNAL</x:v>
      </x:c>
    </x:row>
    <x:row r="10" ht="28" customHeight="1">
      <x:c r="A10" s="110" t="str">
        <x:v>Review 22 units before procurement: the source BOM contains vendor-standard or unavailable material assignments. Price, supplier, lead-time, weight, and availability data have not been supplied, so the dashboard focuses on quantity and specification completeness only.</x:v>
      </x:c>
    </x:row>
    <x:row r="34" ht="22" customHeight="1">
      <x:c r="A34" s="32" t="str">
        <x:v>REVIEW QUEUE (SOURCE-LINKED)</x:v>
      </x:c>
    </x:row>
    <x:row r="35" ht="28" customHeight="1">
      <x:c r="A35" s="20" t="str">
        <x:v>System</x:v>
      </x:c>
      <x:c r="B35" s="20" t="str">
        <x:v>Item Group</x:v>
      </x:c>
      <x:c r="C35" s="20" t="str">
        <x:v>Source Material Assignment</x:v>
      </x:c>
      <x:c r="D35" s="20" t="str">
        <x:v>Qty</x:v>
      </x:c>
      <x:c r="E35" s="20" t="str">
        <x:v>Review Reason</x:v>
      </x:c>
      <x:c r="F35" s="20" t="str">
        <x:v>Item Group</x:v>
      </x:c>
      <x:c r="G35" s="20"/>
      <x:c r="H35" s="20"/>
      <x:c r="I35" s="20"/>
      <x:c r="J35" s="20"/>
      <x:c r="K35" s="20" t="str">
        <x:v>Source Material Assignment</x:v>
      </x:c>
      <x:c r="L35" s="20"/>
      <x:c r="M35" s="20"/>
      <x:c r="N35" s="20"/>
      <x:c r="O35" s="20"/>
      <x:c r="P35" s="20"/>
      <x:c r="Q35" s="20"/>
      <x:c r="R35" s="20" t="str">
        <x:v>Qty</x:v>
      </x:c>
      <x:c r="S35" s="20"/>
      <x:c r="T35" s="20" t="str">
        <x:v>Review Reason</x:v>
      </x:c>
      <x:c r="U35" s="20"/>
      <x:c r="V35" s="20"/>
      <x:c r="W35" s="20"/>
      <x:c r="X35" s="20"/>
      <x:c r="Y35" s="20"/>
    </x:row>
    <x:row r="36" ht="24" customHeight="1">
      <x:c r="A36" s="113" t="str">
        <x:f>'BOM Data'!C15</x:f>
        <x:v>Piping Components</x:v>
      </x:c>
      <x:c r="B36" s="113"/>
      <x:c r="C36" s="113"/>
      <x:c r="D36" s="113"/>
      <x:c r="E36" s="113"/>
      <x:c r="F36" s="113" t="str">
        <x:f>'BOM Data'!D15</x:f>
        <x:v>DN20 Piping/Fitting Set</x:v>
      </x:c>
      <x:c r="G36" s="113"/>
      <x:c r="H36" s="113"/>
      <x:c r="I36" s="113"/>
      <x:c r="J36" s="113"/>
      <x:c r="K36" s="113" t="str">
        <x:f>'BOM Data'!G15</x:f>
        <x:v>SS 316L (vendor std.)</x:v>
      </x:c>
      <x:c r="L36" s="113"/>
      <x:c r="M36" s="113"/>
      <x:c r="N36" s="113"/>
      <x:c r="O36" s="113"/>
      <x:c r="P36" s="113"/>
      <x:c r="Q36" s="113"/>
      <x:c r="R36" s="114" t="n">
        <x:f>'BOM Data'!F15</x:f>
        <x:v>4</x:v>
      </x:c>
      <x:c r="S36" s="113"/>
      <x:c r="T36" s="117" t="str">
        <x:f>'BOM Data'!I15</x:f>
        <x:v>Needs Review</x:v>
      </x:c>
      <x:c r="U36" s="113"/>
      <x:c r="V36" s="113"/>
      <x:c r="W36" s="113"/>
      <x:c r="X36" s="113"/>
      <x:c r="Y36" s="113"/>
    </x:row>
    <x:row r="37" ht="24" customHeight="1">
      <x:c r="A37" s="113" t="str">
        <x:f>'BOM Data'!C24</x:f>
        <x:v>Instrumentation, Control &amp; Electrical</x:v>
      </x:c>
      <x:c r="B37" s="113"/>
      <x:c r="C37" s="113"/>
      <x:c r="D37" s="113"/>
      <x:c r="E37" s="113"/>
      <x:c r="F37" s="113" t="str">
        <x:f>'BOM Data'!D24</x:f>
        <x:v>Unidentified Instruments</x:v>
      </x:c>
      <x:c r="G37" s="113"/>
      <x:c r="H37" s="113"/>
      <x:c r="I37" s="113"/>
      <x:c r="J37" s="113"/>
      <x:c r="K37" s="113" t="str">
        <x:f>'BOM Data'!G24</x:f>
        <x:v>Purchased Item — Not Available</x:v>
      </x:c>
      <x:c r="L37" s="113"/>
      <x:c r="M37" s="113"/>
      <x:c r="N37" s="113"/>
      <x:c r="O37" s="113"/>
      <x:c r="P37" s="113"/>
      <x:c r="Q37" s="113"/>
      <x:c r="R37" s="114" t="n">
        <x:f>'BOM Data'!F24</x:f>
        <x:v>17</x:v>
      </x:c>
      <x:c r="S37" s="113"/>
      <x:c r="T37" s="117" t="str">
        <x:f>'BOM Data'!I24</x:f>
        <x:v>Needs Review</x:v>
      </x:c>
      <x:c r="U37" s="113"/>
      <x:c r="V37" s="113"/>
      <x:c r="W37" s="113"/>
      <x:c r="X37" s="113"/>
      <x:c r="Y37" s="113"/>
    </x:row>
    <x:row r="38" ht="24" customHeight="1">
      <x:c r="A38" s="113" t="str">
        <x:f>'BOM Data'!C26</x:f>
        <x:v>Miscellaneous / Unidentified</x:v>
      </x:c>
      <x:c r="B38" s="113"/>
      <x:c r="C38" s="113"/>
      <x:c r="D38" s="113"/>
      <x:c r="E38" s="113"/>
      <x:c r="F38" s="113" t="str">
        <x:f>'BOM Data'!D26</x:f>
        <x:v>Unidentified Part</x:v>
      </x:c>
      <x:c r="G38" s="113"/>
      <x:c r="H38" s="113"/>
      <x:c r="I38" s="113"/>
      <x:c r="J38" s="113"/>
      <x:c r="K38" s="113" t="str">
        <x:f>'BOM Data'!G26</x:f>
        <x:v>Not Available</x:v>
      </x:c>
      <x:c r="L38" s="113"/>
      <x:c r="M38" s="113"/>
      <x:c r="N38" s="113"/>
      <x:c r="O38" s="113"/>
      <x:c r="P38" s="113"/>
      <x:c r="Q38" s="113"/>
      <x:c r="R38" s="114" t="n">
        <x:f>'BOM Data'!F26</x:f>
        <x:v>1</x:v>
      </x:c>
      <x:c r="S38" s="113"/>
      <x:c r="T38" s="117" t="str">
        <x:f>'BOM Data'!I26</x:f>
        <x:v>Needs Review</x:v>
      </x:c>
      <x:c r="U38" s="113"/>
      <x:c r="V38" s="113"/>
      <x:c r="W38" s="113"/>
      <x:c r="X38" s="113"/>
      <x:c r="Y38" s="113"/>
    </x:row>
    <x:row r="40" ht="28" customHeight="1">
      <x:c r="A40" s="120" t="str">
        <x:v>Methodology: Quantity summaries and charts are formula-driven from BOM Data. The review queue is limited to source records categorized as vendor-standard or unavailable material. Update the original Simplified BOM values to refresh linked fields; re-check classifications if source descriptions or materials change.</x:v>
      </x:c>
    </x:row>
  </x:sheetData>
  <x:mergeCells>
    <x:mergeCell ref="A1:Y1"/>
    <x:mergeCell ref="A2:Y2"/>
    <x:mergeCell ref="A4:E4"/>
    <x:mergeCell ref="A5:E7"/>
    <x:mergeCell ref="G4:K4"/>
    <x:mergeCell ref="G5:K7"/>
    <x:mergeCell ref="M4:Q4"/>
    <x:mergeCell ref="M5:Q7"/>
    <x:mergeCell ref="S4:Y4"/>
    <x:mergeCell ref="S5:Y7"/>
    <x:mergeCell ref="A9:Y9"/>
    <x:mergeCell ref="A10:Y11"/>
    <x:mergeCell ref="A34:Y34"/>
    <x:mergeCell ref="A35:E35"/>
    <x:mergeCell ref="F35:J35"/>
    <x:mergeCell ref="K35:Q35"/>
    <x:mergeCell ref="R35:S35"/>
    <x:mergeCell ref="T35:Y35"/>
    <x:mergeCell ref="A36:E36"/>
    <x:mergeCell ref="F36:J36"/>
    <x:mergeCell ref="K36:Q36"/>
    <x:mergeCell ref="R36:S36"/>
    <x:mergeCell ref="T36:Y36"/>
    <x:mergeCell ref="A37:E37"/>
    <x:mergeCell ref="F37:J37"/>
    <x:mergeCell ref="K37:Q37"/>
    <x:mergeCell ref="R37:S37"/>
    <x:mergeCell ref="T37:Y37"/>
    <x:mergeCell ref="A38:E38"/>
    <x:mergeCell ref="F38:J38"/>
    <x:mergeCell ref="K38:Q38"/>
    <x:mergeCell ref="R38:S38"/>
    <x:mergeCell ref="T38:Y38"/>
    <x:mergeCell ref="A40:Y41"/>
  </x:mergeCells>
  <x:pageMargins left="0.7" right="0.7" top="0.75" bottom="0.75" header="0.3" footer="0.3"/>
  <x:drawing xmlns:r="http://schemas.openxmlformats.org/officeDocument/2006/relationships" r:id="Redf3782c47884582"/>
</x:worksheet>
</file>